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55" windowHeight="8550"/>
  </bookViews>
  <sheets>
    <sheet name="格道17" sheetId="1" r:id="rId1"/>
    <sheet name="操作频率" sheetId="2" r:id="rId2"/>
    <sheet name="乱序17" sheetId="3" r:id="rId3"/>
    <sheet name="格道17GB重音字率" sheetId="4" r:id="rId4"/>
    <sheet name="Sheet2" sheetId="5" r:id="rId5"/>
    <sheet name="Sheet1" sheetId="6" r:id="rId6"/>
  </sheets>
  <definedNames>
    <definedName name="_02音节综合信息表" localSheetId="3">格道17GB重音字率!$A$1:$D$403</definedName>
    <definedName name="_02音节综合信息表">格道17!$A$1:$F$403</definedName>
  </definedNames>
  <calcPr calcId="144525"/>
</workbook>
</file>

<file path=xl/sharedStrings.xml><?xml version="1.0" encoding="utf-8"?>
<sst xmlns="http://schemas.openxmlformats.org/spreadsheetml/2006/main" count="718">
  <si>
    <t>音节</t>
  </si>
  <si>
    <t>频次</t>
  </si>
  <si>
    <t>编码</t>
  </si>
  <si>
    <t>目标音节频率</t>
  </si>
  <si>
    <t>操作总音频率</t>
  </si>
  <si>
    <t>操作重音频率</t>
  </si>
  <si>
    <t>音节频率平方</t>
  </si>
  <si>
    <t>表示从两个不同的样本中随机各选一个字，是重键的概率</t>
  </si>
  <si>
    <t>sun</t>
  </si>
  <si>
    <t>2G</t>
  </si>
  <si>
    <t>概率1</t>
  </si>
  <si>
    <t>ne</t>
  </si>
  <si>
    <t>44</t>
  </si>
  <si>
    <t>dia</t>
  </si>
  <si>
    <t>EC</t>
  </si>
  <si>
    <t>表示从两个不同的样本中随机各选一个字，是同音同键的概率</t>
  </si>
  <si>
    <t>nin</t>
  </si>
  <si>
    <t>4I</t>
  </si>
  <si>
    <t>概率2</t>
  </si>
  <si>
    <t>shua</t>
  </si>
  <si>
    <t>B1</t>
  </si>
  <si>
    <t>suan</t>
  </si>
  <si>
    <t>23</t>
  </si>
  <si>
    <t>概率1-概率2=</t>
  </si>
  <si>
    <t>表示从两个不同的样本中随机各选一个字，是异音同键的概率</t>
  </si>
  <si>
    <t>za</t>
  </si>
  <si>
    <t>1C</t>
  </si>
  <si>
    <t>概率3</t>
  </si>
  <si>
    <t>yo</t>
  </si>
  <si>
    <t>F3</t>
  </si>
  <si>
    <t>su</t>
  </si>
  <si>
    <t>2E</t>
  </si>
  <si>
    <t>概率3/概率1</t>
  </si>
  <si>
    <t>表示从两个不同的样本中随机各选一个字，异音同键占同键的比例</t>
  </si>
  <si>
    <t>zu</t>
  </si>
  <si>
    <t>1E</t>
  </si>
  <si>
    <t>大牛的算法</t>
  </si>
  <si>
    <t>nang</t>
  </si>
  <si>
    <t>41</t>
  </si>
  <si>
    <t>'ang</t>
  </si>
  <si>
    <t>H1</t>
  </si>
  <si>
    <t>cen</t>
  </si>
  <si>
    <t>3A</t>
  </si>
  <si>
    <t>hang</t>
  </si>
  <si>
    <t>huang</t>
  </si>
  <si>
    <t>4H</t>
  </si>
  <si>
    <t>rong</t>
  </si>
  <si>
    <t>66</t>
  </si>
  <si>
    <t>zang</t>
  </si>
  <si>
    <t>11</t>
  </si>
  <si>
    <t>cun</t>
  </si>
  <si>
    <t>3G</t>
  </si>
  <si>
    <t>sen</t>
  </si>
  <si>
    <t>2A</t>
  </si>
  <si>
    <t>ri</t>
  </si>
  <si>
    <t>65</t>
  </si>
  <si>
    <t>rou</t>
  </si>
  <si>
    <t>68</t>
  </si>
  <si>
    <t>nai</t>
  </si>
  <si>
    <t>4D</t>
  </si>
  <si>
    <t>diu</t>
  </si>
  <si>
    <t>E6</t>
  </si>
  <si>
    <t>nuo</t>
  </si>
  <si>
    <t>4F</t>
  </si>
  <si>
    <t>cuo</t>
  </si>
  <si>
    <t>3F</t>
  </si>
  <si>
    <t>ning</t>
  </si>
  <si>
    <t>nou</t>
  </si>
  <si>
    <t>48</t>
  </si>
  <si>
    <t>nve</t>
  </si>
  <si>
    <t>'o</t>
  </si>
  <si>
    <t>H3</t>
  </si>
  <si>
    <t>niao</t>
  </si>
  <si>
    <t>mi</t>
  </si>
  <si>
    <t>35</t>
  </si>
  <si>
    <t>ti</t>
  </si>
  <si>
    <t>ding</t>
  </si>
  <si>
    <t>EF</t>
  </si>
  <si>
    <t>ha</t>
  </si>
  <si>
    <t>4C</t>
  </si>
  <si>
    <t>zen</t>
  </si>
  <si>
    <t>1A</t>
  </si>
  <si>
    <t>tu</t>
  </si>
  <si>
    <t>6E</t>
  </si>
  <si>
    <t>luan</t>
  </si>
  <si>
    <t>D3</t>
  </si>
  <si>
    <t>nie</t>
  </si>
  <si>
    <t>4B</t>
  </si>
  <si>
    <t>san</t>
  </si>
  <si>
    <t>22</t>
  </si>
  <si>
    <t>cui</t>
  </si>
  <si>
    <t>3I</t>
  </si>
  <si>
    <t>nao</t>
  </si>
  <si>
    <t>47</t>
  </si>
  <si>
    <t>heng</t>
  </si>
  <si>
    <t>sang</t>
  </si>
  <si>
    <t>21</t>
  </si>
  <si>
    <t>pai</t>
  </si>
  <si>
    <t>GD</t>
  </si>
  <si>
    <t>cu</t>
  </si>
  <si>
    <t>3E</t>
  </si>
  <si>
    <t>duo</t>
  </si>
  <si>
    <t>diao</t>
  </si>
  <si>
    <t>E8</t>
  </si>
  <si>
    <t>zan</t>
  </si>
  <si>
    <t>12</t>
  </si>
  <si>
    <t>nu</t>
  </si>
  <si>
    <t>4E</t>
  </si>
  <si>
    <t>mai</t>
  </si>
  <si>
    <t>3D</t>
  </si>
  <si>
    <t>nuan</t>
  </si>
  <si>
    <t>43</t>
  </si>
  <si>
    <t>tiao</t>
  </si>
  <si>
    <t>luo</t>
  </si>
  <si>
    <t>DF</t>
  </si>
  <si>
    <t>die</t>
  </si>
  <si>
    <t>EB</t>
  </si>
  <si>
    <t>zei</t>
  </si>
  <si>
    <t>1G</t>
  </si>
  <si>
    <t>tou</t>
  </si>
  <si>
    <t>fu</t>
  </si>
  <si>
    <t>hei</t>
  </si>
  <si>
    <t>4G</t>
  </si>
  <si>
    <t>hun</t>
  </si>
  <si>
    <t>huai</t>
  </si>
  <si>
    <t>niu</t>
  </si>
  <si>
    <t>46</t>
  </si>
  <si>
    <t>zun</t>
  </si>
  <si>
    <t>tan</t>
  </si>
  <si>
    <t>62</t>
  </si>
  <si>
    <t>han</t>
  </si>
  <si>
    <t>42</t>
  </si>
  <si>
    <t>miu</t>
  </si>
  <si>
    <t>36</t>
  </si>
  <si>
    <t>ruo</t>
  </si>
  <si>
    <t>6F</t>
  </si>
  <si>
    <t>pan</t>
  </si>
  <si>
    <t>G2</t>
  </si>
  <si>
    <t>long</t>
  </si>
  <si>
    <t>D6</t>
  </si>
  <si>
    <t>kuo</t>
  </si>
  <si>
    <t>GF</t>
  </si>
  <si>
    <t>sai</t>
  </si>
  <si>
    <t>2D</t>
  </si>
  <si>
    <t>lo</t>
  </si>
  <si>
    <t>wan</t>
  </si>
  <si>
    <t>ca</t>
  </si>
  <si>
    <t>3C</t>
  </si>
  <si>
    <t>ce</t>
  </si>
  <si>
    <t>34</t>
  </si>
  <si>
    <t>zhua</t>
  </si>
  <si>
    <t>A1</t>
  </si>
  <si>
    <t>tuo</t>
  </si>
  <si>
    <t>kui</t>
  </si>
  <si>
    <t>GI</t>
  </si>
  <si>
    <t>zeng</t>
  </si>
  <si>
    <t>1B</t>
  </si>
  <si>
    <t>ru</t>
  </si>
  <si>
    <t>wu</t>
  </si>
  <si>
    <t>lv</t>
  </si>
  <si>
    <t>kun</t>
  </si>
  <si>
    <t>GG</t>
  </si>
  <si>
    <t>hong</t>
  </si>
  <si>
    <t>nen</t>
  </si>
  <si>
    <t>4A</t>
  </si>
  <si>
    <t>pou</t>
  </si>
  <si>
    <t>G8</t>
  </si>
  <si>
    <t>ran</t>
  </si>
  <si>
    <t>'en</t>
  </si>
  <si>
    <t>HA</t>
  </si>
  <si>
    <t>mie</t>
  </si>
  <si>
    <t>3B</t>
  </si>
  <si>
    <t>re</t>
  </si>
  <si>
    <t>64</t>
  </si>
  <si>
    <t>'ai</t>
  </si>
  <si>
    <t>HD</t>
  </si>
  <si>
    <t>nv</t>
  </si>
  <si>
    <t>niang</t>
  </si>
  <si>
    <t>cuan</t>
  </si>
  <si>
    <t>33</t>
  </si>
  <si>
    <t>lei</t>
  </si>
  <si>
    <t>DG</t>
  </si>
  <si>
    <t>pei</t>
  </si>
  <si>
    <t>nei</t>
  </si>
  <si>
    <t>gun</t>
  </si>
  <si>
    <t>IG</t>
  </si>
  <si>
    <t>gua</t>
  </si>
  <si>
    <t>I1</t>
  </si>
  <si>
    <t>nong</t>
  </si>
  <si>
    <t>piao</t>
  </si>
  <si>
    <t>ci</t>
  </si>
  <si>
    <t>kuai</t>
  </si>
  <si>
    <t>nan</t>
  </si>
  <si>
    <t>que</t>
  </si>
  <si>
    <t>cao</t>
  </si>
  <si>
    <t>37</t>
  </si>
  <si>
    <t>guai</t>
  </si>
  <si>
    <t>mei</t>
  </si>
  <si>
    <t>kai</t>
  </si>
  <si>
    <t>lve</t>
  </si>
  <si>
    <t>D8</t>
  </si>
  <si>
    <t>lun</t>
  </si>
  <si>
    <t>huan</t>
  </si>
  <si>
    <t>lou</t>
  </si>
  <si>
    <t>fou</t>
  </si>
  <si>
    <t>18</t>
  </si>
  <si>
    <t>ting</t>
  </si>
  <si>
    <t>feng</t>
  </si>
  <si>
    <t>beng</t>
  </si>
  <si>
    <t>7B</t>
  </si>
  <si>
    <t>tong</t>
  </si>
  <si>
    <t>man</t>
  </si>
  <si>
    <t>32</t>
  </si>
  <si>
    <t>leng</t>
  </si>
  <si>
    <t>DB</t>
  </si>
  <si>
    <t>can</t>
  </si>
  <si>
    <t>meng</t>
  </si>
  <si>
    <t>ceng</t>
  </si>
  <si>
    <t>rao</t>
  </si>
  <si>
    <t>67</t>
  </si>
  <si>
    <t>pian</t>
  </si>
  <si>
    <t>GH</t>
  </si>
  <si>
    <t>kuang</t>
  </si>
  <si>
    <t>rui</t>
  </si>
  <si>
    <t>6I</t>
  </si>
  <si>
    <t>nian</t>
  </si>
  <si>
    <t>cai</t>
  </si>
  <si>
    <t>wai</t>
  </si>
  <si>
    <t>kuan</t>
  </si>
  <si>
    <t>G3</t>
  </si>
  <si>
    <t>me</t>
  </si>
  <si>
    <t>cou</t>
  </si>
  <si>
    <t>38</t>
  </si>
  <si>
    <t>ku</t>
  </si>
  <si>
    <t>GE</t>
  </si>
  <si>
    <t>teng</t>
  </si>
  <si>
    <t>6B</t>
  </si>
  <si>
    <t>ling</t>
  </si>
  <si>
    <t>kua</t>
  </si>
  <si>
    <t>G1</t>
  </si>
  <si>
    <t>pu</t>
  </si>
  <si>
    <t>ruan</t>
  </si>
  <si>
    <t>63</t>
  </si>
  <si>
    <t>pao</t>
  </si>
  <si>
    <t>G7</t>
  </si>
  <si>
    <t>qia</t>
  </si>
  <si>
    <t>HC</t>
  </si>
  <si>
    <t>pang</t>
  </si>
  <si>
    <t>tang</t>
  </si>
  <si>
    <t>61</t>
  </si>
  <si>
    <t>qiong</t>
  </si>
  <si>
    <t>H7</t>
  </si>
  <si>
    <t>'ou</t>
  </si>
  <si>
    <t>H8</t>
  </si>
  <si>
    <t>liao</t>
  </si>
  <si>
    <t>pie</t>
  </si>
  <si>
    <t>GB</t>
  </si>
  <si>
    <t>rang</t>
  </si>
  <si>
    <t>zhuai</t>
  </si>
  <si>
    <t>AG</t>
  </si>
  <si>
    <t>keng</t>
  </si>
  <si>
    <t>kan</t>
  </si>
  <si>
    <t>reng</t>
  </si>
  <si>
    <t>ping</t>
  </si>
  <si>
    <t>huo</t>
  </si>
  <si>
    <t>chuai</t>
  </si>
  <si>
    <t>CG</t>
  </si>
  <si>
    <t>liu</t>
  </si>
  <si>
    <t>ming</t>
  </si>
  <si>
    <t>te</t>
  </si>
  <si>
    <t>wo</t>
  </si>
  <si>
    <t>'ei</t>
  </si>
  <si>
    <t>HG</t>
  </si>
  <si>
    <t>tie</t>
  </si>
  <si>
    <t>qiao</t>
  </si>
  <si>
    <t>miao</t>
  </si>
  <si>
    <t>mao</t>
  </si>
  <si>
    <t>he</t>
  </si>
  <si>
    <t>po</t>
  </si>
  <si>
    <t>fen</t>
  </si>
  <si>
    <t>ka</t>
  </si>
  <si>
    <t>GC</t>
  </si>
  <si>
    <t>wei</t>
  </si>
  <si>
    <t>pa</t>
  </si>
  <si>
    <t>kou</t>
  </si>
  <si>
    <t>hao</t>
  </si>
  <si>
    <t>mang</t>
  </si>
  <si>
    <t>31</t>
  </si>
  <si>
    <t>kao</t>
  </si>
  <si>
    <t>mu</t>
  </si>
  <si>
    <t>mou</t>
  </si>
  <si>
    <t>kang</t>
  </si>
  <si>
    <t>fa</t>
  </si>
  <si>
    <t>hu</t>
  </si>
  <si>
    <t>neng</t>
  </si>
  <si>
    <t>fan</t>
  </si>
  <si>
    <t>zhang</t>
  </si>
  <si>
    <t>hua</t>
  </si>
  <si>
    <t>sa</t>
  </si>
  <si>
    <t>2C</t>
  </si>
  <si>
    <t>wa</t>
  </si>
  <si>
    <t>hai</t>
  </si>
  <si>
    <t>na</t>
  </si>
  <si>
    <t>cang</t>
  </si>
  <si>
    <t>dou</t>
  </si>
  <si>
    <t>zou</t>
  </si>
  <si>
    <t>gei</t>
  </si>
  <si>
    <t>lie</t>
  </si>
  <si>
    <t>gang</t>
  </si>
  <si>
    <t>shuai</t>
  </si>
  <si>
    <t>BG</t>
  </si>
  <si>
    <t>pen</t>
  </si>
  <si>
    <t>GA</t>
  </si>
  <si>
    <t>tui</t>
  </si>
  <si>
    <t>pin</t>
  </si>
  <si>
    <t>hen</t>
  </si>
  <si>
    <t>zuan</t>
  </si>
  <si>
    <t>13</t>
  </si>
  <si>
    <t>hui</t>
  </si>
  <si>
    <t>fei</t>
  </si>
  <si>
    <t>min</t>
  </si>
  <si>
    <t>qiang</t>
  </si>
  <si>
    <t>wen</t>
  </si>
  <si>
    <t>deng</t>
  </si>
  <si>
    <t>wang</t>
  </si>
  <si>
    <t>tao</t>
  </si>
  <si>
    <t>hou</t>
  </si>
  <si>
    <t>shun</t>
  </si>
  <si>
    <t>'ao</t>
  </si>
  <si>
    <t>tuan</t>
  </si>
  <si>
    <t>'a</t>
  </si>
  <si>
    <t>fang</t>
  </si>
  <si>
    <t>tun</t>
  </si>
  <si>
    <t>6G</t>
  </si>
  <si>
    <t>ken</t>
  </si>
  <si>
    <t>fo</t>
  </si>
  <si>
    <t>run</t>
  </si>
  <si>
    <t>shang</t>
  </si>
  <si>
    <t>peng</t>
  </si>
  <si>
    <t>bie</t>
  </si>
  <si>
    <t>'er</t>
  </si>
  <si>
    <t>dong</t>
  </si>
  <si>
    <t>ma</t>
  </si>
  <si>
    <t>seng</t>
  </si>
  <si>
    <t>2B</t>
  </si>
  <si>
    <t>quan</t>
  </si>
  <si>
    <t>cong</t>
  </si>
  <si>
    <t>weng</t>
  </si>
  <si>
    <t>mo</t>
  </si>
  <si>
    <t>yuan</t>
  </si>
  <si>
    <t>chun</t>
  </si>
  <si>
    <t>zhun</t>
  </si>
  <si>
    <t>men</t>
  </si>
  <si>
    <t>qun</t>
  </si>
  <si>
    <t>da</t>
  </si>
  <si>
    <t>'an</t>
  </si>
  <si>
    <t>H2</t>
  </si>
  <si>
    <t>ba</t>
  </si>
  <si>
    <t>7C</t>
  </si>
  <si>
    <t>bai</t>
  </si>
  <si>
    <t>7D</t>
  </si>
  <si>
    <t>ban</t>
  </si>
  <si>
    <t>72</t>
  </si>
  <si>
    <t>bang</t>
  </si>
  <si>
    <t>71</t>
  </si>
  <si>
    <t>bao</t>
  </si>
  <si>
    <t>77</t>
  </si>
  <si>
    <t>bei</t>
  </si>
  <si>
    <t>7G</t>
  </si>
  <si>
    <t>ben</t>
  </si>
  <si>
    <t>7A</t>
  </si>
  <si>
    <t>bi</t>
  </si>
  <si>
    <t>75</t>
  </si>
  <si>
    <t>bian</t>
  </si>
  <si>
    <t>7H</t>
  </si>
  <si>
    <t>biao</t>
  </si>
  <si>
    <t>78</t>
  </si>
  <si>
    <t>bin</t>
  </si>
  <si>
    <t>7I</t>
  </si>
  <si>
    <t>bing</t>
  </si>
  <si>
    <t>7F</t>
  </si>
  <si>
    <t>bo</t>
  </si>
  <si>
    <t>73</t>
  </si>
  <si>
    <t>bu</t>
  </si>
  <si>
    <t>7E</t>
  </si>
  <si>
    <t>cha</t>
  </si>
  <si>
    <t>CC</t>
  </si>
  <si>
    <t>chai</t>
  </si>
  <si>
    <t>CD</t>
  </si>
  <si>
    <t>chan</t>
  </si>
  <si>
    <t>C2</t>
  </si>
  <si>
    <t>chang</t>
  </si>
  <si>
    <t>C1</t>
  </si>
  <si>
    <t>chao</t>
  </si>
  <si>
    <t>C7</t>
  </si>
  <si>
    <t>che</t>
  </si>
  <si>
    <t>C4</t>
  </si>
  <si>
    <t>chen</t>
  </si>
  <si>
    <t>CA</t>
  </si>
  <si>
    <t>cheng</t>
  </si>
  <si>
    <t>CB</t>
  </si>
  <si>
    <t>chi</t>
  </si>
  <si>
    <t>C5</t>
  </si>
  <si>
    <t>chong</t>
  </si>
  <si>
    <t>C6</t>
  </si>
  <si>
    <t>chou</t>
  </si>
  <si>
    <t>C8</t>
  </si>
  <si>
    <t>chu</t>
  </si>
  <si>
    <t>CE</t>
  </si>
  <si>
    <t>chuan</t>
  </si>
  <si>
    <t>C3</t>
  </si>
  <si>
    <t>chuang</t>
  </si>
  <si>
    <t>CH</t>
  </si>
  <si>
    <t>chui</t>
  </si>
  <si>
    <t>CI</t>
  </si>
  <si>
    <t>chuo</t>
  </si>
  <si>
    <t>CF</t>
  </si>
  <si>
    <t>dai</t>
  </si>
  <si>
    <t>ED</t>
  </si>
  <si>
    <t>dan</t>
  </si>
  <si>
    <t>E2</t>
  </si>
  <si>
    <t>dang</t>
  </si>
  <si>
    <t>E1</t>
  </si>
  <si>
    <t>dao</t>
  </si>
  <si>
    <t>E7</t>
  </si>
  <si>
    <t>de</t>
  </si>
  <si>
    <t>E4</t>
  </si>
  <si>
    <t>den</t>
  </si>
  <si>
    <t>EA</t>
  </si>
  <si>
    <t>di</t>
  </si>
  <si>
    <t>E5</t>
  </si>
  <si>
    <t>dian</t>
  </si>
  <si>
    <t>EH</t>
  </si>
  <si>
    <t>du</t>
  </si>
  <si>
    <t>EE</t>
  </si>
  <si>
    <t>duan</t>
  </si>
  <si>
    <t>E3</t>
  </si>
  <si>
    <t>dui</t>
  </si>
  <si>
    <t>EI</t>
  </si>
  <si>
    <t>dun</t>
  </si>
  <si>
    <t>EG</t>
  </si>
  <si>
    <t>'e</t>
  </si>
  <si>
    <t>H4</t>
  </si>
  <si>
    <t>ga</t>
  </si>
  <si>
    <t>IC</t>
  </si>
  <si>
    <t>gai</t>
  </si>
  <si>
    <t>ID</t>
  </si>
  <si>
    <t>gan</t>
  </si>
  <si>
    <t>I2</t>
  </si>
  <si>
    <t>gao</t>
  </si>
  <si>
    <t>I7</t>
  </si>
  <si>
    <t>ge</t>
  </si>
  <si>
    <t>I4</t>
  </si>
  <si>
    <t>gen</t>
  </si>
  <si>
    <t>IA</t>
  </si>
  <si>
    <t>geng</t>
  </si>
  <si>
    <t>IB</t>
  </si>
  <si>
    <t>gong</t>
  </si>
  <si>
    <t>I6</t>
  </si>
  <si>
    <t>gou</t>
  </si>
  <si>
    <t>I8</t>
  </si>
  <si>
    <t>gu</t>
  </si>
  <si>
    <t>IE</t>
  </si>
  <si>
    <t>guan</t>
  </si>
  <si>
    <t>I3</t>
  </si>
  <si>
    <t>guang</t>
  </si>
  <si>
    <t>IH</t>
  </si>
  <si>
    <t>gui</t>
  </si>
  <si>
    <t>II</t>
  </si>
  <si>
    <t>guo</t>
  </si>
  <si>
    <t>IF</t>
  </si>
  <si>
    <t>ji</t>
  </si>
  <si>
    <t>55</t>
  </si>
  <si>
    <t>jia</t>
  </si>
  <si>
    <t>5C</t>
  </si>
  <si>
    <t>jian</t>
  </si>
  <si>
    <t>5H</t>
  </si>
  <si>
    <t>jiang</t>
  </si>
  <si>
    <t>5A</t>
  </si>
  <si>
    <t>jiao</t>
  </si>
  <si>
    <t>58</t>
  </si>
  <si>
    <t>jie</t>
  </si>
  <si>
    <t>5B</t>
  </si>
  <si>
    <t>jin</t>
  </si>
  <si>
    <t>5I</t>
  </si>
  <si>
    <t>jing</t>
  </si>
  <si>
    <t>5F</t>
  </si>
  <si>
    <t>jiong</t>
  </si>
  <si>
    <t>57</t>
  </si>
  <si>
    <t>jiu</t>
  </si>
  <si>
    <t>56</t>
  </si>
  <si>
    <t>ju</t>
  </si>
  <si>
    <t>5E</t>
  </si>
  <si>
    <t>juan</t>
  </si>
  <si>
    <t>53</t>
  </si>
  <si>
    <t>jue</t>
  </si>
  <si>
    <t>5D</t>
  </si>
  <si>
    <t>jun</t>
  </si>
  <si>
    <t>5G</t>
  </si>
  <si>
    <t>ke</t>
  </si>
  <si>
    <t>G4</t>
  </si>
  <si>
    <t>kong</t>
  </si>
  <si>
    <t>G6</t>
  </si>
  <si>
    <t>la</t>
  </si>
  <si>
    <t>DC</t>
  </si>
  <si>
    <t>lai</t>
  </si>
  <si>
    <t>DD</t>
  </si>
  <si>
    <t>lan</t>
  </si>
  <si>
    <t>D2</t>
  </si>
  <si>
    <t>lang</t>
  </si>
  <si>
    <t>D1</t>
  </si>
  <si>
    <t>lao</t>
  </si>
  <si>
    <t>D7</t>
  </si>
  <si>
    <t>le</t>
  </si>
  <si>
    <t>D4</t>
  </si>
  <si>
    <t>li</t>
  </si>
  <si>
    <t>D5</t>
  </si>
  <si>
    <t>lian</t>
  </si>
  <si>
    <t>DH</t>
  </si>
  <si>
    <t>liang</t>
  </si>
  <si>
    <t>DA</t>
  </si>
  <si>
    <t>lin</t>
  </si>
  <si>
    <t>DI</t>
  </si>
  <si>
    <t>lu</t>
  </si>
  <si>
    <t>DE</t>
  </si>
  <si>
    <t>mian</t>
  </si>
  <si>
    <t>3H</t>
  </si>
  <si>
    <t>ni</t>
  </si>
  <si>
    <t>45</t>
  </si>
  <si>
    <t>pi</t>
  </si>
  <si>
    <t>G5</t>
  </si>
  <si>
    <t>qi</t>
  </si>
  <si>
    <t>H5</t>
  </si>
  <si>
    <t>qian</t>
  </si>
  <si>
    <t>HH</t>
  </si>
  <si>
    <t>qie</t>
  </si>
  <si>
    <t>HB</t>
  </si>
  <si>
    <t>qin</t>
  </si>
  <si>
    <t>HI</t>
  </si>
  <si>
    <t>qing</t>
  </si>
  <si>
    <t>HF</t>
  </si>
  <si>
    <t>qiu</t>
  </si>
  <si>
    <t>H6</t>
  </si>
  <si>
    <t>qu</t>
  </si>
  <si>
    <t>HE</t>
  </si>
  <si>
    <t>ren</t>
  </si>
  <si>
    <t>6A</t>
  </si>
  <si>
    <t>sao</t>
  </si>
  <si>
    <t>27</t>
  </si>
  <si>
    <t>se</t>
  </si>
  <si>
    <t>24</t>
  </si>
  <si>
    <t>sha</t>
  </si>
  <si>
    <t>BC</t>
  </si>
  <si>
    <t>shai</t>
  </si>
  <si>
    <t>BD</t>
  </si>
  <si>
    <t>shan</t>
  </si>
  <si>
    <t>B2</t>
  </si>
  <si>
    <t>shao</t>
  </si>
  <si>
    <t>B7</t>
  </si>
  <si>
    <t>she</t>
  </si>
  <si>
    <t>B4</t>
  </si>
  <si>
    <t>shen</t>
  </si>
  <si>
    <t>BA</t>
  </si>
  <si>
    <t>sheng</t>
  </si>
  <si>
    <t>BB</t>
  </si>
  <si>
    <t>shi</t>
  </si>
  <si>
    <t>B5</t>
  </si>
  <si>
    <t>shou</t>
  </si>
  <si>
    <t>B8</t>
  </si>
  <si>
    <t>shu</t>
  </si>
  <si>
    <t>BE</t>
  </si>
  <si>
    <t>shuan</t>
  </si>
  <si>
    <t>B3</t>
  </si>
  <si>
    <t>shuang</t>
  </si>
  <si>
    <t>BH</t>
  </si>
  <si>
    <t>shui</t>
  </si>
  <si>
    <t>BI</t>
  </si>
  <si>
    <t>shuo</t>
  </si>
  <si>
    <t>BF</t>
  </si>
  <si>
    <t>si</t>
  </si>
  <si>
    <t>25</t>
  </si>
  <si>
    <t>song</t>
  </si>
  <si>
    <t>26</t>
  </si>
  <si>
    <t>sou</t>
  </si>
  <si>
    <t>28</t>
  </si>
  <si>
    <t>sui</t>
  </si>
  <si>
    <t>2I</t>
  </si>
  <si>
    <t>suo</t>
  </si>
  <si>
    <t>2F</t>
  </si>
  <si>
    <t>ta</t>
  </si>
  <si>
    <t>6C</t>
  </si>
  <si>
    <t>tai</t>
  </si>
  <si>
    <t>6D</t>
  </si>
  <si>
    <t>tian</t>
  </si>
  <si>
    <t>6H</t>
  </si>
  <si>
    <t>xi</t>
  </si>
  <si>
    <t>85</t>
  </si>
  <si>
    <t>xia</t>
  </si>
  <si>
    <t>8C</t>
  </si>
  <si>
    <t>xian</t>
  </si>
  <si>
    <t>8H</t>
  </si>
  <si>
    <t>xiang</t>
  </si>
  <si>
    <t>8A</t>
  </si>
  <si>
    <t>xiao</t>
  </si>
  <si>
    <t>88</t>
  </si>
  <si>
    <t>xie</t>
  </si>
  <si>
    <t>8B</t>
  </si>
  <si>
    <t>xin</t>
  </si>
  <si>
    <t>8I</t>
  </si>
  <si>
    <t>xing</t>
  </si>
  <si>
    <t>8F</t>
  </si>
  <si>
    <t>xiong</t>
  </si>
  <si>
    <t>87</t>
  </si>
  <si>
    <t>xiu</t>
  </si>
  <si>
    <t>86</t>
  </si>
  <si>
    <t>xu</t>
  </si>
  <si>
    <t>8E</t>
  </si>
  <si>
    <t>xuan</t>
  </si>
  <si>
    <t>83</t>
  </si>
  <si>
    <t>xue</t>
  </si>
  <si>
    <t>8D</t>
  </si>
  <si>
    <t>xun</t>
  </si>
  <si>
    <t>8G</t>
  </si>
  <si>
    <t>ya</t>
  </si>
  <si>
    <t>FC</t>
  </si>
  <si>
    <t>yan</t>
  </si>
  <si>
    <t>F2</t>
  </si>
  <si>
    <t>yang</t>
  </si>
  <si>
    <t>F1</t>
  </si>
  <si>
    <t>yao</t>
  </si>
  <si>
    <t>F7</t>
  </si>
  <si>
    <t>ye</t>
  </si>
  <si>
    <t>F4</t>
  </si>
  <si>
    <t>yi</t>
  </si>
  <si>
    <t>F5</t>
  </si>
  <si>
    <t>yin</t>
  </si>
  <si>
    <t>FI</t>
  </si>
  <si>
    <t>ying</t>
  </si>
  <si>
    <t>FF</t>
  </si>
  <si>
    <t>yong</t>
  </si>
  <si>
    <t>F6</t>
  </si>
  <si>
    <t>you</t>
  </si>
  <si>
    <t>F8</t>
  </si>
  <si>
    <t>yu</t>
  </si>
  <si>
    <t>FE</t>
  </si>
  <si>
    <t>yue</t>
  </si>
  <si>
    <t>FD</t>
  </si>
  <si>
    <t>yun</t>
  </si>
  <si>
    <t>FG</t>
  </si>
  <si>
    <t>zai</t>
  </si>
  <si>
    <t>1D</t>
  </si>
  <si>
    <t>zao</t>
  </si>
  <si>
    <t>17</t>
  </si>
  <si>
    <t>ze</t>
  </si>
  <si>
    <t>14</t>
  </si>
  <si>
    <t>zha</t>
  </si>
  <si>
    <t>AC</t>
  </si>
  <si>
    <t>zhai</t>
  </si>
  <si>
    <t>AD</t>
  </si>
  <si>
    <t>zhan</t>
  </si>
  <si>
    <t>A2</t>
  </si>
  <si>
    <t>zhao</t>
  </si>
  <si>
    <t>A7</t>
  </si>
  <si>
    <t>zhe</t>
  </si>
  <si>
    <t>A4</t>
  </si>
  <si>
    <t>zhen</t>
  </si>
  <si>
    <t>AA</t>
  </si>
  <si>
    <t>zheng</t>
  </si>
  <si>
    <t>AB</t>
  </si>
  <si>
    <t>zhi</t>
  </si>
  <si>
    <t>A5</t>
  </si>
  <si>
    <t>zhong</t>
  </si>
  <si>
    <t>A6</t>
  </si>
  <si>
    <t>zhou</t>
  </si>
  <si>
    <t>A8</t>
  </si>
  <si>
    <t>zhu</t>
  </si>
  <si>
    <t>AE</t>
  </si>
  <si>
    <t>zhuan</t>
  </si>
  <si>
    <t>A3</t>
  </si>
  <si>
    <t>zhuang</t>
  </si>
  <si>
    <t>AH</t>
  </si>
  <si>
    <t>zhui</t>
  </si>
  <si>
    <t>AI</t>
  </si>
  <si>
    <t>zhuo</t>
  </si>
  <si>
    <t>AF</t>
  </si>
  <si>
    <t>zi</t>
  </si>
  <si>
    <t>15</t>
  </si>
  <si>
    <t>zong</t>
  </si>
  <si>
    <t>16</t>
  </si>
  <si>
    <t>zui</t>
  </si>
  <si>
    <t>1I</t>
  </si>
  <si>
    <t>zuo</t>
  </si>
  <si>
    <t>1F</t>
  </si>
  <si>
    <t>按键操作</t>
  </si>
  <si>
    <t>按键总音频率</t>
  </si>
  <si>
    <t>按键总音频率平方</t>
  </si>
  <si>
    <t>表示从两个不同的样本中随机各选一个字，重键的概率</t>
  </si>
  <si>
    <t>次数</t>
  </si>
  <si>
    <t>是否有重</t>
  </si>
  <si>
    <t>52</t>
  </si>
  <si>
    <t>76</t>
  </si>
  <si>
    <t>51</t>
  </si>
  <si>
    <t>2H</t>
  </si>
  <si>
    <t>54</t>
  </si>
  <si>
    <t>FB</t>
  </si>
  <si>
    <t>1H</t>
  </si>
  <si>
    <t>B6</t>
  </si>
  <si>
    <t>FA</t>
  </si>
  <si>
    <t>81</t>
  </si>
  <si>
    <t>84</t>
  </si>
  <si>
    <t>74</t>
  </si>
  <si>
    <t>82</t>
  </si>
  <si>
    <t>GB字数</t>
  </si>
  <si>
    <t>重音组GB字数</t>
  </si>
  <si>
    <t>单次重字数</t>
  </si>
  <si>
    <t>音节重字数</t>
  </si>
  <si>
    <t>分母常数</t>
  </si>
  <si>
    <t>GB重音字率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</si>
</sst>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9" fillId="15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3" borderId="12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0" borderId="14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9" fillId="18" borderId="15" applyNumberFormat="0" applyAlignment="0" applyProtection="0">
      <alignment vertical="center"/>
    </xf>
    <xf numFmtId="0" fontId="10" fillId="18" borderId="9" applyNumberFormat="0" applyAlignment="0" applyProtection="0">
      <alignment vertical="center"/>
    </xf>
    <xf numFmtId="0" fontId="6" fillId="9" borderId="8" applyNumberForma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2" borderId="0" xfId="0" applyFill="1"/>
    <xf numFmtId="0" fontId="0" fillId="3" borderId="0" xfId="0" applyFill="1"/>
    <xf numFmtId="10" fontId="0" fillId="0" borderId="0" xfId="11" applyNumberFormat="1" applyFont="1" applyAlignment="1"/>
    <xf numFmtId="0" fontId="0" fillId="0" borderId="0" xfId="0" applyNumberFormat="1"/>
    <xf numFmtId="10" fontId="0" fillId="0" borderId="1" xfId="0" applyNumberFormat="1" applyFill="1" applyBorder="1" applyAlignment="1">
      <alignment horizontal="center"/>
    </xf>
    <xf numFmtId="10" fontId="0" fillId="0" borderId="0" xfId="0" applyNumberFormat="1" applyFill="1" applyAlignment="1">
      <alignment horizontal="center"/>
    </xf>
    <xf numFmtId="10" fontId="0" fillId="0" borderId="2" xfId="0" applyNumberFormat="1" applyFill="1" applyBorder="1" applyAlignment="1">
      <alignment horizontal="center"/>
    </xf>
    <xf numFmtId="10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0" fontId="1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10" fontId="0" fillId="0" borderId="1" xfId="0" applyNumberFormat="1" applyBorder="1" applyAlignment="1">
      <alignment horizontal="center"/>
    </xf>
    <xf numFmtId="0" fontId="1" fillId="0" borderId="3" xfId="0" applyBorder="1" applyAlignment="1">
      <alignment horizontal="center"/>
    </xf>
    <xf numFmtId="0" fontId="1" fillId="0" borderId="4" xfId="0" applyBorder="1" applyAlignment="1">
      <alignment horizontal="center"/>
    </xf>
    <xf numFmtId="0" fontId="1" fillId="0" borderId="5" xfId="0" applyBorder="1" applyAlignment="1">
      <alignment horizontal="center"/>
    </xf>
    <xf numFmtId="10" fontId="1" fillId="0" borderId="6" xfId="0" applyNumberFormat="1" applyBorder="1" applyAlignment="1">
      <alignment horizontal="center"/>
    </xf>
    <xf numFmtId="0" fontId="0" fillId="0" borderId="0" xfId="0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0" fontId="0" fillId="0" borderId="5" xfId="0" applyNumberFormat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0" fontId="0" fillId="0" borderId="7" xfId="0" applyNumberForma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404"/>
  <sheetViews>
    <sheetView tabSelected="1" topLeftCell="E1" workbookViewId="0">
      <pane ySplit="1" topLeftCell="A2" activePane="bottomLeft" state="frozen"/>
      <selection/>
      <selection pane="bottomLeft" activeCell="I17" sqref="I17"/>
    </sheetView>
  </sheetViews>
  <sheetFormatPr defaultColWidth="9" defaultRowHeight="13.5"/>
  <cols>
    <col min="2" max="2" width="10.25" customWidth="1"/>
    <col min="3" max="3" width="8.5" style="9" customWidth="1"/>
    <col min="4" max="4" width="13.125" style="5" customWidth="1"/>
    <col min="5" max="5" width="14.5" style="5" customWidth="1"/>
    <col min="6" max="6" width="14.5" style="6" customWidth="1"/>
    <col min="7" max="8" width="12.625" style="15"/>
    <col min="9" max="9" width="15.875" style="15" customWidth="1"/>
    <col min="10" max="10" width="59.875" customWidth="1"/>
    <col min="11" max="11" width="12.625" style="8"/>
  </cols>
  <sheetData>
    <row r="1" spans="1:10">
      <c r="A1" s="16" t="s">
        <v>0</v>
      </c>
      <c r="B1" s="17" t="s">
        <v>1</v>
      </c>
      <c r="C1" s="11" t="s">
        <v>2</v>
      </c>
      <c r="D1" s="5" t="s">
        <v>3</v>
      </c>
      <c r="E1" s="5" t="s">
        <v>4</v>
      </c>
      <c r="F1" s="5" t="s">
        <v>5</v>
      </c>
      <c r="G1" s="18" t="s">
        <v>6</v>
      </c>
      <c r="I1" s="19"/>
      <c r="J1" s="20" t="s">
        <v>7</v>
      </c>
    </row>
    <row r="2" ht="14.25" spans="1:10">
      <c r="A2" s="16" t="s">
        <v>8</v>
      </c>
      <c r="B2" s="16">
        <v>115512</v>
      </c>
      <c r="C2" s="11" t="s">
        <v>9</v>
      </c>
      <c r="D2" s="5">
        <f>B2/SUM($B$2:$B$403)</f>
        <v>0.000375664720888709</v>
      </c>
      <c r="E2" s="5">
        <f>SUMIF($C$2:$C$403,C2,$D$2:$D$403)</f>
        <v>0.0112711644427761</v>
      </c>
      <c r="F2" s="5">
        <f t="shared" ref="F2:F65" si="0">E2-D2</f>
        <v>0.0108954997218874</v>
      </c>
      <c r="G2" s="18">
        <f>D2*D2</f>
        <v>1.41123982520392e-7</v>
      </c>
      <c r="I2" s="21" t="s">
        <v>10</v>
      </c>
      <c r="J2" s="22">
        <f>操作频率!E2</f>
        <v>0.00907635085780037</v>
      </c>
    </row>
    <row r="3" ht="14.25" spans="1:10">
      <c r="A3" s="16" t="s">
        <v>11</v>
      </c>
      <c r="B3" s="16">
        <v>131130</v>
      </c>
      <c r="C3" s="11" t="s">
        <v>12</v>
      </c>
      <c r="D3" s="5">
        <f>B3/SUM($B$2:$B$403)</f>
        <v>0.000426457120040658</v>
      </c>
      <c r="E3" s="5">
        <f>SUMIF($C$2:$C$403,C3,$D$2:$D$403)</f>
        <v>0.0100340290211729</v>
      </c>
      <c r="F3" s="5">
        <f t="shared" si="0"/>
        <v>0.00960757190113225</v>
      </c>
      <c r="G3" s="18">
        <f t="shared" ref="G3:G66" si="1">D3*D3</f>
        <v>1.81865675233372e-7</v>
      </c>
      <c r="J3" s="23"/>
    </row>
    <row r="4" spans="1:10">
      <c r="A4" s="16" t="s">
        <v>13</v>
      </c>
      <c r="B4" s="16">
        <v>198</v>
      </c>
      <c r="C4" s="11" t="s">
        <v>14</v>
      </c>
      <c r="D4" s="5">
        <f>B4/SUM($B$2:$B$403)</f>
        <v>6.43929762587129e-7</v>
      </c>
      <c r="E4" s="5">
        <f>SUMIF($C$2:$C$403,C4,$D$2:$D$403)</f>
        <v>0.00814469681952553</v>
      </c>
      <c r="F4" s="5">
        <f t="shared" si="0"/>
        <v>0.00814405288976294</v>
      </c>
      <c r="G4" s="18">
        <f t="shared" si="1"/>
        <v>4.14645539145517e-13</v>
      </c>
      <c r="I4" s="24"/>
      <c r="J4" s="25" t="s">
        <v>15</v>
      </c>
    </row>
    <row r="5" ht="14.25" spans="1:10">
      <c r="A5" s="16" t="s">
        <v>16</v>
      </c>
      <c r="B5" s="16">
        <v>60705</v>
      </c>
      <c r="C5" s="11" t="s">
        <v>17</v>
      </c>
      <c r="D5" s="5">
        <f>B5/SUM($B$2:$B$403)</f>
        <v>0.000197423011302281</v>
      </c>
      <c r="E5" s="5">
        <f>SUMIF($C$2:$C$403,C5,$D$2:$D$403)</f>
        <v>0.007110617168562</v>
      </c>
      <c r="F5" s="5">
        <f t="shared" si="0"/>
        <v>0.00691319415725972</v>
      </c>
      <c r="G5" s="18">
        <f t="shared" si="1"/>
        <v>3.89758453916606e-8</v>
      </c>
      <c r="I5" s="26" t="s">
        <v>18</v>
      </c>
      <c r="J5" s="27">
        <f>SUM(G2:G403)</f>
        <v>0.0087741341567838</v>
      </c>
    </row>
    <row r="6" ht="14.25" spans="1:10">
      <c r="A6" s="16" t="s">
        <v>19</v>
      </c>
      <c r="B6" s="16">
        <v>18008</v>
      </c>
      <c r="C6" s="11" t="s">
        <v>20</v>
      </c>
      <c r="D6" s="5">
        <f>B6/SUM($B$2:$B$403)</f>
        <v>5.85650866902476e-5</v>
      </c>
      <c r="E6" s="5">
        <f>SUMIF($C$2:$C$403,C6,$D$2:$D$403)</f>
        <v>0.00676836849974694</v>
      </c>
      <c r="F6" s="5">
        <f t="shared" si="0"/>
        <v>0.00670980341305669</v>
      </c>
      <c r="G6" s="18">
        <f t="shared" si="1"/>
        <v>3.42986937903622e-9</v>
      </c>
      <c r="J6" s="23"/>
    </row>
    <row r="7" spans="1:10">
      <c r="A7" s="16" t="s">
        <v>21</v>
      </c>
      <c r="B7" s="16">
        <v>141726</v>
      </c>
      <c r="C7" s="11" t="s">
        <v>22</v>
      </c>
      <c r="D7" s="5">
        <f>B7/SUM($B$2:$B$403)</f>
        <v>0.000460917118850624</v>
      </c>
      <c r="E7" s="5">
        <f>SUMIF($C$2:$C$403,C7,$D$2:$D$403)</f>
        <v>0.00705783444105297</v>
      </c>
      <c r="F7" s="5">
        <f t="shared" si="0"/>
        <v>0.00659691732220234</v>
      </c>
      <c r="G7" s="18">
        <f t="shared" si="1"/>
        <v>2.1244459044956e-7</v>
      </c>
      <c r="I7" s="24" t="s">
        <v>23</v>
      </c>
      <c r="J7" s="20" t="s">
        <v>24</v>
      </c>
    </row>
    <row r="8" ht="14.25" spans="1:10">
      <c r="A8" s="16" t="s">
        <v>25</v>
      </c>
      <c r="B8" s="16">
        <v>103539</v>
      </c>
      <c r="C8" s="11" t="s">
        <v>26</v>
      </c>
      <c r="D8" s="5">
        <f>B8/SUM($B$2:$B$403)</f>
        <v>0.000336726483275297</v>
      </c>
      <c r="E8" s="5">
        <f>SUMIF($C$2:$C$403,C8,$D$2:$D$403)</f>
        <v>0.00687055169742617</v>
      </c>
      <c r="F8" s="5">
        <f t="shared" si="0"/>
        <v>0.00653382521415088</v>
      </c>
      <c r="G8" s="18">
        <f t="shared" si="1"/>
        <v>1.13384724538949e-7</v>
      </c>
      <c r="I8" s="26" t="s">
        <v>27</v>
      </c>
      <c r="J8" s="27">
        <f>操作频率!E2-J5</f>
        <v>0.000302216701016562</v>
      </c>
    </row>
    <row r="9" ht="14.25" spans="1:10">
      <c r="A9" s="16" t="s">
        <v>28</v>
      </c>
      <c r="B9" s="16">
        <v>3946</v>
      </c>
      <c r="C9" s="11" t="s">
        <v>29</v>
      </c>
      <c r="D9" s="5">
        <f>B9/SUM($B$2:$B$403)</f>
        <v>1.28330648644889e-5</v>
      </c>
      <c r="E9" s="5">
        <f>SUMIF($C$2:$C$403,C9,$D$2:$D$403)</f>
        <v>0.00638198787700104</v>
      </c>
      <c r="F9" s="5">
        <f t="shared" si="0"/>
        <v>0.00636915481213655</v>
      </c>
      <c r="G9" s="18">
        <f t="shared" si="1"/>
        <v>1.64687553816181e-10</v>
      </c>
      <c r="J9" s="23"/>
    </row>
    <row r="10" spans="1:10">
      <c r="A10" s="16" t="s">
        <v>30</v>
      </c>
      <c r="B10" s="16">
        <v>490805</v>
      </c>
      <c r="C10" s="11" t="s">
        <v>31</v>
      </c>
      <c r="D10" s="5">
        <f>B10/SUM($B$2:$B$403)</f>
        <v>0.00159618155114432</v>
      </c>
      <c r="E10" s="5">
        <f>SUMIF($C$2:$C$403,C10,$D$2:$D$403)</f>
        <v>0.00789694646945539</v>
      </c>
      <c r="F10" s="5">
        <f t="shared" si="0"/>
        <v>0.00630076491831107</v>
      </c>
      <c r="G10" s="18">
        <f t="shared" si="1"/>
        <v>2.5477955442135e-6</v>
      </c>
      <c r="I10" s="28" t="s">
        <v>32</v>
      </c>
      <c r="J10" s="20" t="s">
        <v>33</v>
      </c>
    </row>
    <row r="11" ht="14.25" spans="1:10">
      <c r="A11" s="16" t="s">
        <v>34</v>
      </c>
      <c r="B11" s="16">
        <v>672366</v>
      </c>
      <c r="C11" s="11" t="s">
        <v>35</v>
      </c>
      <c r="D11" s="5">
        <f>B11/SUM($B$2:$B$403)</f>
        <v>0.00218664888258413</v>
      </c>
      <c r="E11" s="5">
        <f>SUMIF($C$2:$C$403,C11,$D$2:$D$403)</f>
        <v>0.00813439069115362</v>
      </c>
      <c r="F11" s="5">
        <f t="shared" si="0"/>
        <v>0.00594774180856949</v>
      </c>
      <c r="G11" s="18">
        <f t="shared" si="1"/>
        <v>4.78143333570642e-6</v>
      </c>
      <c r="I11" s="26" t="s">
        <v>36</v>
      </c>
      <c r="J11" s="27">
        <f>J8/J2</f>
        <v>0.0332971593706993</v>
      </c>
    </row>
    <row r="12" spans="1:7">
      <c r="A12" s="16" t="s">
        <v>37</v>
      </c>
      <c r="B12" s="16">
        <v>7585</v>
      </c>
      <c r="C12" s="11" t="s">
        <v>38</v>
      </c>
      <c r="D12" s="5">
        <f>B12/SUM($B$2:$B$403)</f>
        <v>2.4667713379916e-5</v>
      </c>
      <c r="E12" s="5">
        <f>SUMIF($C$2:$C$403,C12,$D$2:$D$403)</f>
        <v>0.00576314210562014</v>
      </c>
      <c r="F12" s="5">
        <f t="shared" si="0"/>
        <v>0.00573847439224023</v>
      </c>
      <c r="G12" s="18">
        <f t="shared" si="1"/>
        <v>6.08496083393689e-10</v>
      </c>
    </row>
    <row r="13" spans="1:7">
      <c r="A13" s="16" t="s">
        <v>39</v>
      </c>
      <c r="B13" s="16">
        <v>14800</v>
      </c>
      <c r="C13" s="11" t="s">
        <v>40</v>
      </c>
      <c r="D13" s="5">
        <f>B13/SUM($B$2:$B$403)</f>
        <v>4.81321236681289e-5</v>
      </c>
      <c r="E13" s="5">
        <f>SUMIF($C$2:$C$403,C13,$D$2:$D$403)</f>
        <v>0.00578255105927226</v>
      </c>
      <c r="F13" s="5">
        <f t="shared" si="0"/>
        <v>0.00573441893560414</v>
      </c>
      <c r="G13" s="18">
        <f t="shared" si="1"/>
        <v>2.31670132880405e-9</v>
      </c>
    </row>
    <row r="14" spans="1:7">
      <c r="A14" s="16" t="s">
        <v>41</v>
      </c>
      <c r="B14" s="16">
        <v>1294</v>
      </c>
      <c r="C14" s="11" t="s">
        <v>42</v>
      </c>
      <c r="D14" s="5">
        <f>B14/SUM($B$2:$B$403)</f>
        <v>4.20830865044316e-6</v>
      </c>
      <c r="E14" s="5">
        <f>SUMIF($C$2:$C$403,C14,$D$2:$D$403)</f>
        <v>0.00559895952918353</v>
      </c>
      <c r="F14" s="5">
        <f t="shared" si="0"/>
        <v>0.00559475122053309</v>
      </c>
      <c r="G14" s="18">
        <f t="shared" si="1"/>
        <v>1.77098616973947e-11</v>
      </c>
    </row>
    <row r="15" spans="1:7">
      <c r="A15" s="16" t="s">
        <v>43</v>
      </c>
      <c r="B15" s="16">
        <v>86076</v>
      </c>
      <c r="C15" s="11" t="s">
        <v>38</v>
      </c>
      <c r="D15" s="5">
        <f>B15/SUM($B$2:$B$403)</f>
        <v>0.000279933829517423</v>
      </c>
      <c r="E15" s="5">
        <f>SUMIF($C$2:$C$403,C15,$D$2:$D$403)</f>
        <v>0.00576314210562014</v>
      </c>
      <c r="F15" s="5">
        <f t="shared" si="0"/>
        <v>0.00548320827610272</v>
      </c>
      <c r="G15" s="18">
        <f t="shared" si="1"/>
        <v>7.83629489082896e-8</v>
      </c>
    </row>
    <row r="16" spans="1:7">
      <c r="A16" s="16" t="s">
        <v>44</v>
      </c>
      <c r="B16" s="16">
        <v>245187</v>
      </c>
      <c r="C16" s="11" t="s">
        <v>45</v>
      </c>
      <c r="D16" s="5">
        <f>B16/SUM($B$2:$B$403)</f>
        <v>0.000797389932825507</v>
      </c>
      <c r="E16" s="5">
        <f>SUMIF($C$2:$C$403,C16,$D$2:$D$403)</f>
        <v>0.0061816639295966</v>
      </c>
      <c r="F16" s="5">
        <f t="shared" si="0"/>
        <v>0.00538427399677109</v>
      </c>
      <c r="G16" s="18">
        <f t="shared" si="1"/>
        <v>6.35830704971467e-7</v>
      </c>
    </row>
    <row r="17" spans="1:7">
      <c r="A17" s="16" t="s">
        <v>46</v>
      </c>
      <c r="B17" s="16">
        <v>286618</v>
      </c>
      <c r="C17" s="11" t="s">
        <v>47</v>
      </c>
      <c r="D17" s="5">
        <f>B17/SUM($B$2:$B$403)</f>
        <v>0.000932130609561605</v>
      </c>
      <c r="E17" s="5">
        <f>SUMIF($C$2:$C$403,C17,$D$2:$D$403)</f>
        <v>0.00600918831833879</v>
      </c>
      <c r="F17" s="5">
        <f t="shared" si="0"/>
        <v>0.00507705770877718</v>
      </c>
      <c r="G17" s="18">
        <f t="shared" si="1"/>
        <v>8.68867473281689e-7</v>
      </c>
    </row>
    <row r="18" spans="1:7">
      <c r="A18" s="16" t="s">
        <v>48</v>
      </c>
      <c r="B18" s="16">
        <v>29007</v>
      </c>
      <c r="C18" s="11" t="s">
        <v>49</v>
      </c>
      <c r="D18" s="5">
        <f>B18/SUM($B$2:$B$403)</f>
        <v>9.43357102190144e-5</v>
      </c>
      <c r="E18" s="5">
        <f>SUMIF($C$2:$C$403,C18,$D$2:$D$403)</f>
        <v>0.00501559493815529</v>
      </c>
      <c r="F18" s="5">
        <f t="shared" si="0"/>
        <v>0.00492125922793628</v>
      </c>
      <c r="G18" s="18">
        <f t="shared" si="1"/>
        <v>8.89922622252586e-9</v>
      </c>
    </row>
    <row r="19" spans="1:7">
      <c r="A19" s="16" t="s">
        <v>50</v>
      </c>
      <c r="B19" s="16">
        <v>331501</v>
      </c>
      <c r="C19" s="11" t="s">
        <v>51</v>
      </c>
      <c r="D19" s="5">
        <f>B19/SUM($B$2:$B$403)</f>
        <v>0.00107809777892624</v>
      </c>
      <c r="E19" s="5">
        <f>SUMIF($C$2:$C$403,C19,$D$2:$D$403)</f>
        <v>0.00559176572799746</v>
      </c>
      <c r="F19" s="5">
        <f t="shared" si="0"/>
        <v>0.00451366794907122</v>
      </c>
      <c r="G19" s="18">
        <f t="shared" si="1"/>
        <v>1.1622948209257e-6</v>
      </c>
    </row>
    <row r="20" spans="1:7">
      <c r="A20" s="16" t="s">
        <v>52</v>
      </c>
      <c r="B20" s="16">
        <v>47239</v>
      </c>
      <c r="C20" s="11" t="s">
        <v>53</v>
      </c>
      <c r="D20" s="5">
        <f>B20/SUM($B$2:$B$403)</f>
        <v>0.00015362928310532</v>
      </c>
      <c r="E20" s="5">
        <f>SUMIF($C$2:$C$403,C20,$D$2:$D$403)</f>
        <v>0.00462973141052177</v>
      </c>
      <c r="F20" s="5">
        <f t="shared" si="0"/>
        <v>0.00447610212741645</v>
      </c>
      <c r="G20" s="18">
        <f t="shared" si="1"/>
        <v>2.36019566274546e-8</v>
      </c>
    </row>
    <row r="21" spans="1:7">
      <c r="A21" s="16" t="s">
        <v>54</v>
      </c>
      <c r="B21" s="16">
        <v>991994</v>
      </c>
      <c r="C21" s="11" t="s">
        <v>55</v>
      </c>
      <c r="D21" s="5">
        <f>B21/SUM($B$2:$B$403)</f>
        <v>0.00322613364094877</v>
      </c>
      <c r="E21" s="5">
        <f>SUMIF($C$2:$C$403,C21,$D$2:$D$403)</f>
        <v>0.00762065181874774</v>
      </c>
      <c r="F21" s="5">
        <f t="shared" si="0"/>
        <v>0.00439451817779897</v>
      </c>
      <c r="G21" s="18">
        <f t="shared" si="1"/>
        <v>1.04079382692614e-5</v>
      </c>
    </row>
    <row r="22" spans="1:7">
      <c r="A22" s="16" t="s">
        <v>56</v>
      </c>
      <c r="B22" s="16">
        <v>64917</v>
      </c>
      <c r="C22" s="11" t="s">
        <v>57</v>
      </c>
      <c r="D22" s="5">
        <f>B22/SUM($B$2:$B$403)</f>
        <v>0.000211121153524589</v>
      </c>
      <c r="E22" s="5">
        <f>SUMIF($C$2:$C$403,C22,$D$2:$D$403)</f>
        <v>0.00423916199214853</v>
      </c>
      <c r="F22" s="5">
        <f t="shared" si="0"/>
        <v>0.00402804083862394</v>
      </c>
      <c r="G22" s="18">
        <f t="shared" si="1"/>
        <v>4.45721414655532e-8</v>
      </c>
    </row>
    <row r="23" spans="1:7">
      <c r="A23" s="16" t="s">
        <v>58</v>
      </c>
      <c r="B23" s="16">
        <v>85150</v>
      </c>
      <c r="C23" s="11" t="s">
        <v>59</v>
      </c>
      <c r="D23" s="5">
        <f>B23/SUM($B$2:$B$403)</f>
        <v>0.000276922319617647</v>
      </c>
      <c r="E23" s="5">
        <f>SUMIF($C$2:$C$403,C23,$D$2:$D$403)</f>
        <v>0.00412093258513291</v>
      </c>
      <c r="F23" s="5">
        <f t="shared" si="0"/>
        <v>0.00384401026551527</v>
      </c>
      <c r="G23" s="18">
        <f t="shared" si="1"/>
        <v>7.66859711024181e-8</v>
      </c>
    </row>
    <row r="24" spans="1:7">
      <c r="A24" s="16" t="s">
        <v>60</v>
      </c>
      <c r="B24" s="16">
        <v>13940</v>
      </c>
      <c r="C24" s="11" t="s">
        <v>61</v>
      </c>
      <c r="D24" s="5">
        <f>B24/SUM($B$2:$B$403)</f>
        <v>4.53352570225484e-5</v>
      </c>
      <c r="E24" s="5">
        <f>SUMIF($C$2:$C$403,C24,$D$2:$D$403)</f>
        <v>0.00383717420308618</v>
      </c>
      <c r="F24" s="5">
        <f t="shared" si="0"/>
        <v>0.00379183894606364</v>
      </c>
      <c r="G24" s="18">
        <f t="shared" si="1"/>
        <v>2.05528552930052e-9</v>
      </c>
    </row>
    <row r="25" spans="1:7">
      <c r="A25" s="16" t="s">
        <v>62</v>
      </c>
      <c r="B25" s="16">
        <v>59988</v>
      </c>
      <c r="C25" s="11" t="s">
        <v>63</v>
      </c>
      <c r="D25" s="5">
        <f>B25/SUM($B$2:$B$403)</f>
        <v>0.000195091205040791</v>
      </c>
      <c r="E25" s="5">
        <f>SUMIF($C$2:$C$403,C25,$D$2:$D$403)</f>
        <v>0.00393686298597802</v>
      </c>
      <c r="F25" s="5">
        <f t="shared" si="0"/>
        <v>0.00374177178093723</v>
      </c>
      <c r="G25" s="18">
        <f t="shared" si="1"/>
        <v>3.80605782842681e-8</v>
      </c>
    </row>
    <row r="26" spans="1:7">
      <c r="A26" s="16" t="s">
        <v>64</v>
      </c>
      <c r="B26" s="16">
        <v>146756</v>
      </c>
      <c r="C26" s="11" t="s">
        <v>65</v>
      </c>
      <c r="D26" s="5">
        <f>B26/SUM($B$2:$B$403)</f>
        <v>0.000477275536556751</v>
      </c>
      <c r="E26" s="5">
        <f>SUMIF($C$2:$C$403,C26,$D$2:$D$403)</f>
        <v>0.00416073915227466</v>
      </c>
      <c r="F26" s="5">
        <f t="shared" si="0"/>
        <v>0.00368346361571791</v>
      </c>
      <c r="G26" s="18">
        <f t="shared" si="1"/>
        <v>2.27791937795535e-7</v>
      </c>
    </row>
    <row r="27" spans="1:7">
      <c r="A27" s="16" t="s">
        <v>66</v>
      </c>
      <c r="B27" s="16">
        <v>93546</v>
      </c>
      <c r="C27" s="11" t="s">
        <v>63</v>
      </c>
      <c r="D27" s="5">
        <f>B27/SUM($B$2:$B$403)</f>
        <v>0.000304227543287756</v>
      </c>
      <c r="E27" s="5">
        <f>SUMIF($C$2:$C$403,C27,$D$2:$D$403)</f>
        <v>0.00393686298597802</v>
      </c>
      <c r="F27" s="5">
        <f t="shared" si="0"/>
        <v>0.00363263544269026</v>
      </c>
      <c r="G27" s="18">
        <f t="shared" si="1"/>
        <v>9.25543980949032e-8</v>
      </c>
    </row>
    <row r="28" spans="1:7">
      <c r="A28" s="16" t="s">
        <v>67</v>
      </c>
      <c r="B28" s="16">
        <v>47</v>
      </c>
      <c r="C28" s="11" t="s">
        <v>68</v>
      </c>
      <c r="D28" s="5">
        <f>B28/SUM($B$2:$B$403)</f>
        <v>1.5285201435149e-7</v>
      </c>
      <c r="E28" s="5">
        <f>SUMIF($C$2:$C$403,C28,$D$2:$D$403)</f>
        <v>0.00345561329704813</v>
      </c>
      <c r="F28" s="5">
        <f t="shared" si="0"/>
        <v>0.00345546044503378</v>
      </c>
      <c r="G28" s="18">
        <f t="shared" si="1"/>
        <v>2.33637382913082e-14</v>
      </c>
    </row>
    <row r="29" spans="1:7">
      <c r="A29" s="16" t="s">
        <v>69</v>
      </c>
      <c r="B29" s="16">
        <v>7138</v>
      </c>
      <c r="C29" s="11" t="s">
        <v>68</v>
      </c>
      <c r="D29" s="5">
        <f>B29/SUM($B$2:$B$403)</f>
        <v>2.32139931583178e-5</v>
      </c>
      <c r="E29" s="5">
        <f>SUMIF($C$2:$C$403,C29,$D$2:$D$403)</f>
        <v>0.00345561329704813</v>
      </c>
      <c r="F29" s="5">
        <f t="shared" si="0"/>
        <v>0.00343239930388981</v>
      </c>
      <c r="G29" s="18">
        <f t="shared" si="1"/>
        <v>5.38889478354426e-10</v>
      </c>
    </row>
    <row r="30" spans="1:7">
      <c r="A30" s="16" t="s">
        <v>70</v>
      </c>
      <c r="B30" s="16">
        <v>8788</v>
      </c>
      <c r="C30" s="11" t="s">
        <v>71</v>
      </c>
      <c r="D30" s="5">
        <f>B30/SUM($B$2:$B$403)</f>
        <v>2.85800745132106e-5</v>
      </c>
      <c r="E30" s="5">
        <f>SUMIF($C$2:$C$403,C30,$D$2:$D$403)</f>
        <v>0.00344234118916369</v>
      </c>
      <c r="F30" s="5">
        <f t="shared" si="0"/>
        <v>0.00341376111465048</v>
      </c>
      <c r="G30" s="18">
        <f t="shared" si="1"/>
        <v>8.16820659180668e-10</v>
      </c>
    </row>
    <row r="31" spans="1:7">
      <c r="A31" s="16" t="s">
        <v>72</v>
      </c>
      <c r="B31" s="16">
        <v>30797</v>
      </c>
      <c r="C31" s="11" t="s">
        <v>68</v>
      </c>
      <c r="D31" s="5">
        <f>B31/SUM($B$2:$B$403)</f>
        <v>0.000100157095446444</v>
      </c>
      <c r="E31" s="5">
        <f>SUMIF($C$2:$C$403,C31,$D$2:$D$403)</f>
        <v>0.00345561329704813</v>
      </c>
      <c r="F31" s="5">
        <f t="shared" si="0"/>
        <v>0.00335545620160169</v>
      </c>
      <c r="G31" s="18">
        <f t="shared" si="1"/>
        <v>1.0031443768268e-8</v>
      </c>
    </row>
    <row r="32" spans="1:7">
      <c r="A32" s="16" t="s">
        <v>73</v>
      </c>
      <c r="B32" s="16">
        <v>343947</v>
      </c>
      <c r="C32" s="11" t="s">
        <v>74</v>
      </c>
      <c r="D32" s="5">
        <f>B32/SUM($B$2:$B$403)</f>
        <v>0.00111857429319472</v>
      </c>
      <c r="E32" s="5">
        <f>SUMIF($C$2:$C$403,C32,$D$2:$D$403)</f>
        <v>0.0044114327166637</v>
      </c>
      <c r="F32" s="5">
        <f t="shared" si="0"/>
        <v>0.00329285842346897</v>
      </c>
      <c r="G32" s="18">
        <f t="shared" si="1"/>
        <v>1.25120844939608e-6</v>
      </c>
    </row>
    <row r="33" spans="1:7">
      <c r="A33" s="16" t="s">
        <v>75</v>
      </c>
      <c r="B33" s="16">
        <v>1351257</v>
      </c>
      <c r="C33" s="11" t="s">
        <v>55</v>
      </c>
      <c r="D33" s="5">
        <f>B33/SUM($B$2:$B$403)</f>
        <v>0.00439451817779897</v>
      </c>
      <c r="E33" s="5">
        <f>SUMIF($C$2:$C$403,C33,$D$2:$D$403)</f>
        <v>0.00762065181874774</v>
      </c>
      <c r="F33" s="5">
        <f t="shared" si="0"/>
        <v>0.00322613364094877</v>
      </c>
      <c r="G33" s="18">
        <f t="shared" si="1"/>
        <v>1.93117900150056e-5</v>
      </c>
    </row>
    <row r="34" spans="1:7">
      <c r="A34" s="16" t="s">
        <v>76</v>
      </c>
      <c r="B34" s="16">
        <v>754488</v>
      </c>
      <c r="C34" s="11" t="s">
        <v>77</v>
      </c>
      <c r="D34" s="5">
        <f>B34/SUM($B$2:$B$403)</f>
        <v>0.00245372362987292</v>
      </c>
      <c r="E34" s="5">
        <f>SUMIF($C$2:$C$403,C34,$D$2:$D$403)</f>
        <v>0.00558491015254527</v>
      </c>
      <c r="F34" s="5">
        <f t="shared" si="0"/>
        <v>0.00313118652267235</v>
      </c>
      <c r="G34" s="18">
        <f t="shared" si="1"/>
        <v>6.02075965179673e-6</v>
      </c>
    </row>
    <row r="35" spans="1:7">
      <c r="A35" s="16" t="s">
        <v>78</v>
      </c>
      <c r="B35" s="16">
        <v>84928</v>
      </c>
      <c r="C35" s="11" t="s">
        <v>79</v>
      </c>
      <c r="D35" s="5">
        <f>B35/SUM($B$2:$B$403)</f>
        <v>0.000276200337762625</v>
      </c>
      <c r="E35" s="5">
        <f>SUMIF($C$2:$C$403,C35,$D$2:$D$403)</f>
        <v>0.00340620307036638</v>
      </c>
      <c r="F35" s="5">
        <f t="shared" si="0"/>
        <v>0.00313000273260376</v>
      </c>
      <c r="G35" s="18">
        <f t="shared" si="1"/>
        <v>7.6286626580188e-8</v>
      </c>
    </row>
    <row r="36" spans="1:7">
      <c r="A36" s="16" t="s">
        <v>80</v>
      </c>
      <c r="B36" s="16">
        <v>125548</v>
      </c>
      <c r="C36" s="11" t="s">
        <v>81</v>
      </c>
      <c r="D36" s="5">
        <f>B36/SUM($B$2:$B$403)</f>
        <v>0.00040830350420853</v>
      </c>
      <c r="E36" s="5">
        <f>SUMIF($C$2:$C$403,C36,$D$2:$D$403)</f>
        <v>0.00346854717919868</v>
      </c>
      <c r="F36" s="5">
        <f t="shared" si="0"/>
        <v>0.00306024367499015</v>
      </c>
      <c r="G36" s="18">
        <f t="shared" si="1"/>
        <v>1.66711751548965e-7</v>
      </c>
    </row>
    <row r="37" spans="1:7">
      <c r="A37" s="16" t="s">
        <v>82</v>
      </c>
      <c r="B37" s="16">
        <v>498580</v>
      </c>
      <c r="C37" s="11" t="s">
        <v>83</v>
      </c>
      <c r="D37" s="5">
        <f>B37/SUM($B$2:$B$403)</f>
        <v>0.00162146717692268</v>
      </c>
      <c r="E37" s="5">
        <f>SUMIF($C$2:$C$403,C37,$D$2:$D$403)</f>
        <v>0.00456385219233628</v>
      </c>
      <c r="F37" s="5">
        <f t="shared" si="0"/>
        <v>0.0029423850154136</v>
      </c>
      <c r="G37" s="18">
        <f t="shared" si="1"/>
        <v>2.62915580583761e-6</v>
      </c>
    </row>
    <row r="38" spans="1:7">
      <c r="A38" s="16" t="s">
        <v>84</v>
      </c>
      <c r="B38" s="16">
        <v>70106</v>
      </c>
      <c r="C38" s="11" t="s">
        <v>85</v>
      </c>
      <c r="D38" s="5">
        <f>B38/SUM($B$2:$B$403)</f>
        <v>0.000227996666343097</v>
      </c>
      <c r="E38" s="5">
        <f>SUMIF($C$2:$C$403,C38,$D$2:$D$403)</f>
        <v>0.00312545294604891</v>
      </c>
      <c r="F38" s="5">
        <f t="shared" si="0"/>
        <v>0.00289745627970581</v>
      </c>
      <c r="G38" s="18">
        <f t="shared" si="1"/>
        <v>5.19824798635657e-8</v>
      </c>
    </row>
    <row r="39" spans="1:7">
      <c r="A39" s="16" t="s">
        <v>86</v>
      </c>
      <c r="B39" s="16">
        <v>22571</v>
      </c>
      <c r="C39" s="11" t="s">
        <v>87</v>
      </c>
      <c r="D39" s="5">
        <f>B39/SUM($B$2:$B$403)</f>
        <v>7.34047407644146e-5</v>
      </c>
      <c r="E39" s="5">
        <f>SUMIF($C$2:$C$403,C39,$D$2:$D$403)</f>
        <v>0.00290165157967418</v>
      </c>
      <c r="F39" s="5">
        <f t="shared" si="0"/>
        <v>0.00282824683890977</v>
      </c>
      <c r="G39" s="18">
        <f t="shared" si="1"/>
        <v>5.38825596669091e-9</v>
      </c>
    </row>
    <row r="40" spans="1:7">
      <c r="A40" s="16" t="s">
        <v>88</v>
      </c>
      <c r="B40" s="16">
        <v>534299</v>
      </c>
      <c r="C40" s="11" t="s">
        <v>89</v>
      </c>
      <c r="D40" s="5">
        <f>B40/SUM($B$2:$B$403)</f>
        <v>0.0017376314556593</v>
      </c>
      <c r="E40" s="5">
        <f>SUMIF($C$2:$C$403,C40,$D$2:$D$403)</f>
        <v>0.00453887552275714</v>
      </c>
      <c r="F40" s="5">
        <f t="shared" si="0"/>
        <v>0.00280124406709785</v>
      </c>
      <c r="G40" s="18">
        <f t="shared" si="1"/>
        <v>3.01936307569664e-6</v>
      </c>
    </row>
    <row r="41" spans="1:7">
      <c r="A41" s="16" t="s">
        <v>90</v>
      </c>
      <c r="B41" s="16">
        <v>53114</v>
      </c>
      <c r="C41" s="11" t="s">
        <v>91</v>
      </c>
      <c r="D41" s="5">
        <f>B41/SUM($B$2:$B$403)</f>
        <v>0.000172735784899256</v>
      </c>
      <c r="E41" s="5">
        <f>SUMIF($C$2:$C$403,C41,$D$2:$D$403)</f>
        <v>0.00296320541107058</v>
      </c>
      <c r="F41" s="5">
        <f t="shared" si="0"/>
        <v>0.00279046962617132</v>
      </c>
      <c r="G41" s="18">
        <f t="shared" si="1"/>
        <v>2.98376513847622e-8</v>
      </c>
    </row>
    <row r="42" spans="1:7">
      <c r="A42" s="16" t="s">
        <v>92</v>
      </c>
      <c r="B42" s="16">
        <v>110603</v>
      </c>
      <c r="C42" s="11" t="s">
        <v>93</v>
      </c>
      <c r="D42" s="5">
        <f>B42/SUM($B$2:$B$403)</f>
        <v>0.000359699815815274</v>
      </c>
      <c r="E42" s="5">
        <f>SUMIF($C$2:$C$403,C42,$D$2:$D$403)</f>
        <v>0.00305164818831077</v>
      </c>
      <c r="F42" s="5">
        <f t="shared" si="0"/>
        <v>0.00269194837249549</v>
      </c>
      <c r="G42" s="18">
        <f t="shared" si="1"/>
        <v>1.29383957497542e-7</v>
      </c>
    </row>
    <row r="43" spans="1:7">
      <c r="A43" s="16" t="s">
        <v>94</v>
      </c>
      <c r="B43" s="16">
        <v>77632</v>
      </c>
      <c r="C43" s="11" t="s">
        <v>87</v>
      </c>
      <c r="D43" s="5">
        <f>B43/SUM($B$2:$B$403)</f>
        <v>0.000252472501662445</v>
      </c>
      <c r="E43" s="5">
        <f>SUMIF($C$2:$C$403,C43,$D$2:$D$403)</f>
        <v>0.00290165157967418</v>
      </c>
      <c r="F43" s="5">
        <f t="shared" si="0"/>
        <v>0.00264917907801174</v>
      </c>
      <c r="G43" s="18">
        <f t="shared" si="1"/>
        <v>6.3742364095693e-8</v>
      </c>
    </row>
    <row r="44" spans="1:7">
      <c r="A44" s="16" t="s">
        <v>95</v>
      </c>
      <c r="B44" s="16">
        <v>44570</v>
      </c>
      <c r="C44" s="11" t="s">
        <v>96</v>
      </c>
      <c r="D44" s="5">
        <f>B44/SUM($B$2:$B$403)</f>
        <v>0.000144949239992466</v>
      </c>
      <c r="E44" s="5">
        <f>SUMIF($C$2:$C$403,C44,$D$2:$D$403)</f>
        <v>0.00272313993993475</v>
      </c>
      <c r="F44" s="5">
        <f t="shared" si="0"/>
        <v>0.00257819069994229</v>
      </c>
      <c r="G44" s="18">
        <f t="shared" si="1"/>
        <v>2.10102821743936e-8</v>
      </c>
    </row>
    <row r="45" spans="1:7">
      <c r="A45" s="16" t="s">
        <v>97</v>
      </c>
      <c r="B45" s="16">
        <v>329952</v>
      </c>
      <c r="C45" s="11" t="s">
        <v>98</v>
      </c>
      <c r="D45" s="5">
        <f>B45/SUM($B$2:$B$403)</f>
        <v>0.00107306016679368</v>
      </c>
      <c r="E45" s="5">
        <f>SUMIF($C$2:$C$403,C45,$D$2:$D$403)</f>
        <v>0.00361548349537772</v>
      </c>
      <c r="F45" s="5">
        <f t="shared" si="0"/>
        <v>0.00254242332858404</v>
      </c>
      <c r="G45" s="18">
        <f t="shared" si="1"/>
        <v>1.15145812155928e-6</v>
      </c>
    </row>
    <row r="46" spans="1:7">
      <c r="A46" s="16" t="s">
        <v>99</v>
      </c>
      <c r="B46" s="16">
        <v>106131</v>
      </c>
      <c r="C46" s="11" t="s">
        <v>100</v>
      </c>
      <c r="D46" s="5">
        <f>B46/SUM($B$2:$B$403)</f>
        <v>0.000345156109258256</v>
      </c>
      <c r="E46" s="5">
        <f>SUMIF($C$2:$C$403,C46,$D$2:$D$403)</f>
        <v>0.00282519305079326</v>
      </c>
      <c r="F46" s="5">
        <f t="shared" si="0"/>
        <v>0.002480036941535</v>
      </c>
      <c r="G46" s="18">
        <f t="shared" si="1"/>
        <v>1.19132739758297e-7</v>
      </c>
    </row>
    <row r="47" spans="1:7">
      <c r="A47" s="16" t="s">
        <v>101</v>
      </c>
      <c r="B47" s="16">
        <v>962799</v>
      </c>
      <c r="C47" s="11" t="s">
        <v>77</v>
      </c>
      <c r="D47" s="5">
        <f>B47/SUM($B$2:$B$403)</f>
        <v>0.00313118652267235</v>
      </c>
      <c r="E47" s="5">
        <f>SUMIF($C$2:$C$403,C47,$D$2:$D$403)</f>
        <v>0.00558491015254527</v>
      </c>
      <c r="F47" s="5">
        <f t="shared" si="0"/>
        <v>0.00245372362987292</v>
      </c>
      <c r="G47" s="18">
        <f t="shared" si="1"/>
        <v>9.80432903976497e-6</v>
      </c>
    </row>
    <row r="48" spans="1:7">
      <c r="A48" s="16" t="s">
        <v>102</v>
      </c>
      <c r="B48" s="16">
        <v>82297</v>
      </c>
      <c r="C48" s="11" t="s">
        <v>103</v>
      </c>
      <c r="D48" s="5">
        <f>B48/SUM($B$2:$B$403)</f>
        <v>0.000267643877129459</v>
      </c>
      <c r="E48" s="5">
        <f>SUMIF($C$2:$C$403,C48,$D$2:$D$403)</f>
        <v>0.00266596027788522</v>
      </c>
      <c r="F48" s="5">
        <f t="shared" si="0"/>
        <v>0.00239831640075576</v>
      </c>
      <c r="G48" s="18">
        <f t="shared" si="1"/>
        <v>7.16332449648892e-8</v>
      </c>
    </row>
    <row r="49" spans="1:7">
      <c r="A49" s="16" t="s">
        <v>104</v>
      </c>
      <c r="B49" s="16">
        <v>99476</v>
      </c>
      <c r="C49" s="11" t="s">
        <v>105</v>
      </c>
      <c r="D49" s="5">
        <f>B49/SUM($B$2:$B$403)</f>
        <v>0.000323512914460188</v>
      </c>
      <c r="E49" s="5">
        <f>SUMIF($C$2:$C$403,C49,$D$2:$D$403)</f>
        <v>0.00268962307057504</v>
      </c>
      <c r="F49" s="5">
        <f t="shared" si="0"/>
        <v>0.00236611015611485</v>
      </c>
      <c r="G49" s="18">
        <f t="shared" si="1"/>
        <v>1.04660605822525e-7</v>
      </c>
    </row>
    <row r="50" spans="1:7">
      <c r="A50" s="16" t="s">
        <v>106</v>
      </c>
      <c r="B50" s="16">
        <v>102712</v>
      </c>
      <c r="C50" s="11" t="s">
        <v>107</v>
      </c>
      <c r="D50" s="5">
        <f>B50/SUM($B$2:$B$403)</f>
        <v>0.000334036938256814</v>
      </c>
      <c r="E50" s="5">
        <f>SUMIF($C$2:$C$403,C50,$D$2:$D$403)</f>
        <v>0.00267630543230335</v>
      </c>
      <c r="F50" s="5">
        <f t="shared" si="0"/>
        <v>0.00234226849404654</v>
      </c>
      <c r="G50" s="18">
        <f t="shared" si="1"/>
        <v>1.11580676119987e-7</v>
      </c>
    </row>
    <row r="51" spans="1:7">
      <c r="A51" s="16" t="s">
        <v>108</v>
      </c>
      <c r="B51" s="16">
        <v>240412</v>
      </c>
      <c r="C51" s="11" t="s">
        <v>109</v>
      </c>
      <c r="D51" s="5">
        <f>B51/SUM($B$2:$B$403)</f>
        <v>0.0007818608186015</v>
      </c>
      <c r="E51" s="5">
        <f>SUMIF($C$2:$C$403,C51,$D$2:$D$403)</f>
        <v>0.00310352030807473</v>
      </c>
      <c r="F51" s="5">
        <f t="shared" si="0"/>
        <v>0.00232165948947323</v>
      </c>
      <c r="G51" s="18">
        <f t="shared" si="1"/>
        <v>6.11306339664207e-7</v>
      </c>
    </row>
    <row r="52" spans="1:7">
      <c r="A52" s="16" t="s">
        <v>110</v>
      </c>
      <c r="B52" s="16">
        <v>17816</v>
      </c>
      <c r="C52" s="11" t="s">
        <v>111</v>
      </c>
      <c r="D52" s="5">
        <f>B52/SUM($B$2:$B$403)</f>
        <v>5.79406699507692e-5</v>
      </c>
      <c r="E52" s="5">
        <f>SUMIF($C$2:$C$403,C52,$D$2:$D$403)</f>
        <v>0.00232002689987314</v>
      </c>
      <c r="F52" s="5">
        <f t="shared" si="0"/>
        <v>0.00226208622992237</v>
      </c>
      <c r="G52" s="18">
        <f t="shared" si="1"/>
        <v>3.35712123434396e-9</v>
      </c>
    </row>
    <row r="53" spans="1:7">
      <c r="A53" s="16" t="s">
        <v>112</v>
      </c>
      <c r="B53" s="16">
        <v>608535</v>
      </c>
      <c r="C53" s="11" t="s">
        <v>57</v>
      </c>
      <c r="D53" s="5">
        <f>B53/SUM($B$2:$B$403)</f>
        <v>0.00197905958624222</v>
      </c>
      <c r="E53" s="5">
        <f>SUMIF($C$2:$C$403,C53,$D$2:$D$403)</f>
        <v>0.00423916199214853</v>
      </c>
      <c r="F53" s="5">
        <f t="shared" si="0"/>
        <v>0.00226010240590632</v>
      </c>
      <c r="G53" s="18">
        <f t="shared" si="1"/>
        <v>3.91667684589721e-6</v>
      </c>
    </row>
    <row r="54" spans="1:7">
      <c r="A54" s="16" t="s">
        <v>113</v>
      </c>
      <c r="B54" s="16">
        <v>224601</v>
      </c>
      <c r="C54" s="11" t="s">
        <v>114</v>
      </c>
      <c r="D54" s="5">
        <f>B54/SUM($B$2:$B$403)</f>
        <v>0.000730440750539555</v>
      </c>
      <c r="E54" s="5">
        <f>SUMIF($C$2:$C$403,C54,$D$2:$D$403)</f>
        <v>0.00298976588769204</v>
      </c>
      <c r="F54" s="5">
        <f t="shared" si="0"/>
        <v>0.00225932513715249</v>
      </c>
      <c r="G54" s="18">
        <f t="shared" si="1"/>
        <v>5.33543690048788e-7</v>
      </c>
    </row>
    <row r="55" spans="1:7">
      <c r="A55" s="16" t="s">
        <v>115</v>
      </c>
      <c r="B55" s="16">
        <v>45467</v>
      </c>
      <c r="C55" s="11" t="s">
        <v>116</v>
      </c>
      <c r="D55" s="5">
        <f>B55/SUM($B$2:$B$403)</f>
        <v>0.000147866436947217</v>
      </c>
      <c r="E55" s="5">
        <f>SUMIF($C$2:$C$403,C55,$D$2:$D$403)</f>
        <v>0.0023867451780523</v>
      </c>
      <c r="F55" s="5">
        <f t="shared" si="0"/>
        <v>0.00223887874110509</v>
      </c>
      <c r="G55" s="18">
        <f t="shared" si="1"/>
        <v>2.18644831754654e-8</v>
      </c>
    </row>
    <row r="56" spans="1:7">
      <c r="A56" s="16" t="s">
        <v>117</v>
      </c>
      <c r="B56" s="16">
        <v>6355</v>
      </c>
      <c r="C56" s="11" t="s">
        <v>118</v>
      </c>
      <c r="D56" s="5">
        <f>B56/SUM($B$2:$B$403)</f>
        <v>2.06675436426324e-5</v>
      </c>
      <c r="E56" s="5">
        <f>SUMIF($C$2:$C$403,C56,$D$2:$D$403)</f>
        <v>0.00225879178118752</v>
      </c>
      <c r="F56" s="5">
        <f t="shared" si="0"/>
        <v>0.00223812423754488</v>
      </c>
      <c r="G56" s="18">
        <f t="shared" si="1"/>
        <v>4.27147360220113e-10</v>
      </c>
    </row>
    <row r="57" spans="1:7">
      <c r="A57" s="16" t="s">
        <v>119</v>
      </c>
      <c r="B57" s="16">
        <v>630035</v>
      </c>
      <c r="C57" s="11" t="s">
        <v>57</v>
      </c>
      <c r="D57" s="5">
        <f>B57/SUM($B$2:$B$403)</f>
        <v>0.00204898125238173</v>
      </c>
      <c r="E57" s="5">
        <f>SUMIF($C$2:$C$403,C57,$D$2:$D$403)</f>
        <v>0.00423916199214853</v>
      </c>
      <c r="F57" s="5">
        <f t="shared" si="0"/>
        <v>0.0021901807397668</v>
      </c>
      <c r="G57" s="18">
        <f t="shared" si="1"/>
        <v>4.19832417261179e-6</v>
      </c>
    </row>
    <row r="58" spans="1:7">
      <c r="A58" s="16" t="s">
        <v>120</v>
      </c>
      <c r="B58" s="16">
        <v>1828853</v>
      </c>
      <c r="C58" s="11" t="s">
        <v>35</v>
      </c>
      <c r="D58" s="5">
        <f>B58/SUM($B$2:$B$403)</f>
        <v>0.00594774180856949</v>
      </c>
      <c r="E58" s="5">
        <f>SUMIF($C$2:$C$403,C58,$D$2:$D$403)</f>
        <v>0.00813439069115362</v>
      </c>
      <c r="F58" s="5">
        <f t="shared" si="0"/>
        <v>0.00218664888258413</v>
      </c>
      <c r="G58" s="18">
        <f t="shared" si="1"/>
        <v>3.53756326214055e-5</v>
      </c>
    </row>
    <row r="59" spans="1:7">
      <c r="A59" s="16" t="s">
        <v>121</v>
      </c>
      <c r="B59" s="16">
        <v>117338</v>
      </c>
      <c r="C59" s="11" t="s">
        <v>122</v>
      </c>
      <c r="D59" s="5">
        <f>B59/SUM($B$2:$B$403)</f>
        <v>0.000381603184254791</v>
      </c>
      <c r="E59" s="5">
        <f>SUMIF($C$2:$C$403,C59,$D$2:$D$403)</f>
        <v>0.00253551897057407</v>
      </c>
      <c r="F59" s="5">
        <f t="shared" si="0"/>
        <v>0.00215391578631928</v>
      </c>
      <c r="G59" s="18">
        <f t="shared" si="1"/>
        <v>1.45620990233396e-7</v>
      </c>
    </row>
    <row r="60" spans="1:7">
      <c r="A60" s="16" t="s">
        <v>123</v>
      </c>
      <c r="B60" s="16">
        <v>121763</v>
      </c>
      <c r="C60" s="11" t="s">
        <v>122</v>
      </c>
      <c r="D60" s="5">
        <f>B60/SUM($B$2:$B$403)</f>
        <v>0.000395994038797458</v>
      </c>
      <c r="E60" s="5">
        <f>SUMIF($C$2:$C$403,C60,$D$2:$D$403)</f>
        <v>0.00253551897057407</v>
      </c>
      <c r="F60" s="5">
        <f t="shared" si="0"/>
        <v>0.00213952493177662</v>
      </c>
      <c r="G60" s="18">
        <f t="shared" si="1"/>
        <v>1.56811278763122e-7</v>
      </c>
    </row>
    <row r="61" spans="1:7">
      <c r="A61" s="16" t="s">
        <v>124</v>
      </c>
      <c r="B61" s="16">
        <v>123062</v>
      </c>
      <c r="C61" s="11" t="s">
        <v>122</v>
      </c>
      <c r="D61" s="5">
        <f>B61/SUM($B$2:$B$403)</f>
        <v>0.000400218608300491</v>
      </c>
      <c r="E61" s="5">
        <f>SUMIF($C$2:$C$403,C61,$D$2:$D$403)</f>
        <v>0.00253551897057407</v>
      </c>
      <c r="F61" s="5">
        <f t="shared" si="0"/>
        <v>0.00213530036227358</v>
      </c>
      <c r="G61" s="18">
        <f t="shared" si="1"/>
        <v>1.60174934429982e-7</v>
      </c>
    </row>
    <row r="62" spans="1:7">
      <c r="A62" s="16" t="s">
        <v>125</v>
      </c>
      <c r="B62" s="16">
        <v>92280</v>
      </c>
      <c r="C62" s="11" t="s">
        <v>126</v>
      </c>
      <c r="D62" s="5">
        <f>B62/SUM($B$2:$B$403)</f>
        <v>0.00030011029541182</v>
      </c>
      <c r="E62" s="5">
        <f>SUMIF($C$2:$C$403,C62,$D$2:$D$403)</f>
        <v>0.00241328939382117</v>
      </c>
      <c r="F62" s="5">
        <f t="shared" si="0"/>
        <v>0.00211317909840935</v>
      </c>
      <c r="G62" s="18">
        <f t="shared" si="1"/>
        <v>9.00661894121696e-8</v>
      </c>
    </row>
    <row r="63" spans="1:7">
      <c r="A63" s="16" t="s">
        <v>127</v>
      </c>
      <c r="B63" s="16">
        <v>53808</v>
      </c>
      <c r="C63" s="11" t="s">
        <v>118</v>
      </c>
      <c r="D63" s="5">
        <f>B63/SUM($B$2:$B$403)</f>
        <v>0.00017499279123883</v>
      </c>
      <c r="E63" s="5">
        <f>SUMIF($C$2:$C$403,C63,$D$2:$D$403)</f>
        <v>0.00225879178118752</v>
      </c>
      <c r="F63" s="5">
        <f t="shared" si="0"/>
        <v>0.00208379898994869</v>
      </c>
      <c r="G63" s="18">
        <f t="shared" si="1"/>
        <v>3.06224769855566e-8</v>
      </c>
    </row>
    <row r="64" spans="1:7">
      <c r="A64" s="16" t="s">
        <v>128</v>
      </c>
      <c r="B64" s="16">
        <v>444706</v>
      </c>
      <c r="C64" s="11" t="s">
        <v>129</v>
      </c>
      <c r="D64" s="5">
        <f>B64/SUM($B$2:$B$403)</f>
        <v>0.00144625974242966</v>
      </c>
      <c r="E64" s="5">
        <f>SUMIF($C$2:$C$403,C64,$D$2:$D$403)</f>
        <v>0.00344798695718315</v>
      </c>
      <c r="F64" s="5">
        <f t="shared" si="0"/>
        <v>0.00200172721475349</v>
      </c>
      <c r="G64" s="18">
        <f t="shared" si="1"/>
        <v>2.09166724257269e-6</v>
      </c>
    </row>
    <row r="65" spans="1:7">
      <c r="A65" s="16" t="s">
        <v>130</v>
      </c>
      <c r="B65" s="16">
        <v>341652</v>
      </c>
      <c r="C65" s="11" t="s">
        <v>131</v>
      </c>
      <c r="D65" s="5">
        <f>B65/SUM($B$2:$B$403)</f>
        <v>0.00111111056185565</v>
      </c>
      <c r="E65" s="5">
        <f>SUMIF($C$2:$C$403,C65,$D$2:$D$403)</f>
        <v>0.00309883067818761</v>
      </c>
      <c r="F65" s="5">
        <f t="shared" si="0"/>
        <v>0.00198772011633196</v>
      </c>
      <c r="G65" s="18">
        <f t="shared" si="1"/>
        <v>1.23456668066717e-6</v>
      </c>
    </row>
    <row r="66" spans="1:7">
      <c r="A66" s="16" t="s">
        <v>132</v>
      </c>
      <c r="B66" s="16">
        <v>7021</v>
      </c>
      <c r="C66" s="11" t="s">
        <v>133</v>
      </c>
      <c r="D66" s="5">
        <f>B66/SUM($B$2:$B$403)</f>
        <v>2.28334892076982e-5</v>
      </c>
      <c r="E66" s="5">
        <f>SUMIF($C$2:$C$403,C66,$D$2:$D$403)</f>
        <v>0.0020035776997783</v>
      </c>
      <c r="F66" s="5">
        <f t="shared" ref="F66:F129" si="2">E66-D66</f>
        <v>0.0019807442105706</v>
      </c>
      <c r="G66" s="18">
        <f t="shared" si="1"/>
        <v>5.21368229398068e-10</v>
      </c>
    </row>
    <row r="67" spans="1:7">
      <c r="A67" s="16" t="s">
        <v>134</v>
      </c>
      <c r="B67" s="16">
        <v>98736</v>
      </c>
      <c r="C67" s="11" t="s">
        <v>135</v>
      </c>
      <c r="D67" s="5">
        <f>B67/SUM($B$2:$B$403)</f>
        <v>0.000321106308276782</v>
      </c>
      <c r="E67" s="5">
        <f>SUMIF($C$2:$C$403,C67,$D$2:$D$403)</f>
        <v>0.00228588236160343</v>
      </c>
      <c r="F67" s="5">
        <f t="shared" si="2"/>
        <v>0.00196477605332665</v>
      </c>
      <c r="G67" s="18">
        <f t="shared" ref="G67:G130" si="3">D67*D67</f>
        <v>1.03109261215144e-7</v>
      </c>
    </row>
    <row r="68" spans="1:7">
      <c r="A68" s="16" t="s">
        <v>136</v>
      </c>
      <c r="B68" s="16">
        <v>167764</v>
      </c>
      <c r="C68" s="11" t="s">
        <v>137</v>
      </c>
      <c r="D68" s="5">
        <f>B68/SUM($B$2:$B$403)</f>
        <v>0.000545597134801349</v>
      </c>
      <c r="E68" s="5">
        <f>SUMIF($C$2:$C$403,C68,$D$2:$D$403)</f>
        <v>0.00250898776348728</v>
      </c>
      <c r="F68" s="5">
        <f t="shared" si="2"/>
        <v>0.00196339062868593</v>
      </c>
      <c r="G68" s="18">
        <f t="shared" si="3"/>
        <v>2.97676233503442e-7</v>
      </c>
    </row>
    <row r="69" spans="1:7">
      <c r="A69" s="16" t="s">
        <v>138</v>
      </c>
      <c r="B69" s="16">
        <v>146958</v>
      </c>
      <c r="C69" s="11" t="s">
        <v>139</v>
      </c>
      <c r="D69" s="5">
        <f>B69/SUM($B$2:$B$403)</f>
        <v>0.000477932475001411</v>
      </c>
      <c r="E69" s="5">
        <f>SUMIF($C$2:$C$403,C69,$D$2:$D$403)</f>
        <v>0.00239124292987886</v>
      </c>
      <c r="F69" s="5">
        <f t="shared" si="2"/>
        <v>0.00191331045487745</v>
      </c>
      <c r="G69" s="18">
        <f t="shared" si="3"/>
        <v>2.28419450660974e-7</v>
      </c>
    </row>
    <row r="70" spans="1:7">
      <c r="A70" s="16" t="s">
        <v>140</v>
      </c>
      <c r="B70" s="16">
        <v>155233</v>
      </c>
      <c r="C70" s="11" t="s">
        <v>141</v>
      </c>
      <c r="D70" s="5">
        <f>B70/SUM($B$2:$B$403)</f>
        <v>0.000504844186038827</v>
      </c>
      <c r="E70" s="5">
        <f>SUMIF($C$2:$C$403,C70,$D$2:$D$403)</f>
        <v>0.0024148732008635</v>
      </c>
      <c r="F70" s="5">
        <f t="shared" si="2"/>
        <v>0.00191002901482467</v>
      </c>
      <c r="G70" s="18">
        <f t="shared" si="3"/>
        <v>2.54867652177206e-7</v>
      </c>
    </row>
    <row r="71" spans="1:7">
      <c r="A71" s="16" t="s">
        <v>142</v>
      </c>
      <c r="B71" s="16">
        <v>235435</v>
      </c>
      <c r="C71" s="11" t="s">
        <v>143</v>
      </c>
      <c r="D71" s="5">
        <f>B71/SUM($B$2:$B$403)</f>
        <v>0.000765674765932832</v>
      </c>
      <c r="E71" s="5">
        <f>SUMIF($C$2:$C$403,C71,$D$2:$D$403)</f>
        <v>0.00257762807444265</v>
      </c>
      <c r="F71" s="5">
        <f t="shared" si="2"/>
        <v>0.00181195330850982</v>
      </c>
      <c r="G71" s="18">
        <f t="shared" si="3"/>
        <v>5.86257847186297e-7</v>
      </c>
    </row>
    <row r="72" spans="1:7">
      <c r="A72" s="16" t="s">
        <v>144</v>
      </c>
      <c r="B72" s="16">
        <v>420032</v>
      </c>
      <c r="C72" s="11" t="s">
        <v>85</v>
      </c>
      <c r="D72" s="5">
        <f>B72/SUM($B$2:$B$403)</f>
        <v>0.00136601568706564</v>
      </c>
      <c r="E72" s="5">
        <f>SUMIF($C$2:$C$403,C72,$D$2:$D$403)</f>
        <v>0.00312545294604891</v>
      </c>
      <c r="F72" s="5">
        <f t="shared" si="2"/>
        <v>0.00175943725898327</v>
      </c>
      <c r="G72" s="18">
        <f t="shared" si="3"/>
        <v>1.86599885730942e-6</v>
      </c>
    </row>
    <row r="73" spans="1:7">
      <c r="A73" s="16" t="s">
        <v>145</v>
      </c>
      <c r="B73" s="16">
        <v>861346</v>
      </c>
      <c r="C73" s="11" t="s">
        <v>89</v>
      </c>
      <c r="D73" s="5">
        <f>B73/SUM($B$2:$B$403)</f>
        <v>0.00280124406709785</v>
      </c>
      <c r="E73" s="5">
        <f>SUMIF($C$2:$C$403,C73,$D$2:$D$403)</f>
        <v>0.00453887552275714</v>
      </c>
      <c r="F73" s="5">
        <f t="shared" si="2"/>
        <v>0.0017376314556593</v>
      </c>
      <c r="G73" s="18">
        <f t="shared" si="3"/>
        <v>7.84696832345088e-6</v>
      </c>
    </row>
    <row r="74" spans="1:7">
      <c r="A74" s="16" t="s">
        <v>146</v>
      </c>
      <c r="B74" s="16">
        <v>13552</v>
      </c>
      <c r="C74" s="11" t="s">
        <v>147</v>
      </c>
      <c r="D74" s="5">
        <f>B74/SUM($B$2:$B$403)</f>
        <v>4.40734148615191e-5</v>
      </c>
      <c r="E74" s="5">
        <f>SUMIF($C$2:$C$403,C74,$D$2:$D$403)</f>
        <v>0.00176177882175631</v>
      </c>
      <c r="F74" s="5">
        <f t="shared" si="2"/>
        <v>0.00171770540689479</v>
      </c>
      <c r="G74" s="18">
        <f t="shared" si="3"/>
        <v>1.94246589755557e-9</v>
      </c>
    </row>
    <row r="75" spans="1:7">
      <c r="A75" s="16" t="s">
        <v>148</v>
      </c>
      <c r="B75" s="16">
        <v>233489</v>
      </c>
      <c r="C75" s="11" t="s">
        <v>149</v>
      </c>
      <c r="D75" s="5">
        <f>B75/SUM($B$2:$B$403)</f>
        <v>0.000759346042104577</v>
      </c>
      <c r="E75" s="5">
        <f>SUMIF($C$2:$C$403,C75,$D$2:$D$403)</f>
        <v>0.00247674574497067</v>
      </c>
      <c r="F75" s="5">
        <f t="shared" si="2"/>
        <v>0.00171739970286609</v>
      </c>
      <c r="G75" s="18">
        <f t="shared" si="3"/>
        <v>5.76606411659886e-7</v>
      </c>
    </row>
    <row r="76" spans="1:7">
      <c r="A76" s="16" t="s">
        <v>150</v>
      </c>
      <c r="B76" s="16">
        <v>95534</v>
      </c>
      <c r="C76" s="11" t="s">
        <v>151</v>
      </c>
      <c r="D76" s="5">
        <f>B76/SUM($B$2:$B$403)</f>
        <v>0.000310692858277772</v>
      </c>
      <c r="E76" s="5">
        <f>SUMIF($C$2:$C$403,C76,$D$2:$D$403)</f>
        <v>0.00201772138936159</v>
      </c>
      <c r="F76" s="5">
        <f t="shared" si="2"/>
        <v>0.00170702853108382</v>
      </c>
      <c r="G76" s="18">
        <f t="shared" si="3"/>
        <v>9.65300521848115e-8</v>
      </c>
    </row>
    <row r="77" spans="1:7">
      <c r="A77" s="16" t="s">
        <v>152</v>
      </c>
      <c r="B77" s="16">
        <v>193842</v>
      </c>
      <c r="C77" s="11" t="s">
        <v>135</v>
      </c>
      <c r="D77" s="5">
        <f>B77/SUM($B$2:$B$403)</f>
        <v>0.000630407237572799</v>
      </c>
      <c r="E77" s="5">
        <f>SUMIF($C$2:$C$403,C77,$D$2:$D$403)</f>
        <v>0.00228588236160343</v>
      </c>
      <c r="F77" s="5">
        <f t="shared" si="2"/>
        <v>0.00165547512403063</v>
      </c>
      <c r="G77" s="18">
        <f t="shared" si="3"/>
        <v>3.97413285184168e-7</v>
      </c>
    </row>
    <row r="78" spans="1:7">
      <c r="A78" s="16" t="s">
        <v>153</v>
      </c>
      <c r="B78" s="16">
        <v>63905</v>
      </c>
      <c r="C78" s="11" t="s">
        <v>154</v>
      </c>
      <c r="D78" s="5">
        <f>B78/SUM($B$2:$B$403)</f>
        <v>0.000207829956960255</v>
      </c>
      <c r="E78" s="5">
        <f>SUMIF($C$2:$C$403,C78,$D$2:$D$403)</f>
        <v>0.0018508492679065</v>
      </c>
      <c r="F78" s="5">
        <f t="shared" si="2"/>
        <v>0.00164301931094624</v>
      </c>
      <c r="G78" s="18">
        <f t="shared" si="3"/>
        <v>4.31932910101015e-8</v>
      </c>
    </row>
    <row r="79" spans="1:7">
      <c r="A79" s="16" t="s">
        <v>155</v>
      </c>
      <c r="B79" s="16">
        <v>289721</v>
      </c>
      <c r="C79" s="11" t="s">
        <v>156</v>
      </c>
      <c r="D79" s="5">
        <f>B79/SUM($B$2:$B$403)</f>
        <v>0.000942222094679322</v>
      </c>
      <c r="E79" s="5">
        <f>SUMIF($C$2:$C$403,C79,$D$2:$D$403)</f>
        <v>0.00258179410487636</v>
      </c>
      <c r="F79" s="5">
        <f t="shared" si="2"/>
        <v>0.00163957201019704</v>
      </c>
      <c r="G79" s="18">
        <f t="shared" si="3"/>
        <v>8.87782475701888e-7</v>
      </c>
    </row>
    <row r="80" spans="1:7">
      <c r="A80" s="16" t="s">
        <v>157</v>
      </c>
      <c r="B80" s="16">
        <v>904745</v>
      </c>
      <c r="C80" s="11" t="s">
        <v>83</v>
      </c>
      <c r="D80" s="5">
        <f>B80/SUM($B$2:$B$403)</f>
        <v>0.0029423850154136</v>
      </c>
      <c r="E80" s="5">
        <f>SUMIF($C$2:$C$403,C80,$D$2:$D$403)</f>
        <v>0.00456385219233628</v>
      </c>
      <c r="F80" s="5">
        <f t="shared" si="2"/>
        <v>0.00162146717692268</v>
      </c>
      <c r="G80" s="18">
        <f t="shared" si="3"/>
        <v>8.65762957893047e-6</v>
      </c>
    </row>
    <row r="81" spans="1:7">
      <c r="A81" s="16" t="s">
        <v>158</v>
      </c>
      <c r="B81" s="16">
        <v>1937403</v>
      </c>
      <c r="C81" s="11" t="s">
        <v>31</v>
      </c>
      <c r="D81" s="5">
        <f>B81/SUM($B$2:$B$403)</f>
        <v>0.00630076491831107</v>
      </c>
      <c r="E81" s="5">
        <f>SUMIF($C$2:$C$403,C81,$D$2:$D$403)</f>
        <v>0.00789694646945539</v>
      </c>
      <c r="F81" s="5">
        <f t="shared" si="2"/>
        <v>0.00159618155114432</v>
      </c>
      <c r="G81" s="18">
        <f t="shared" si="3"/>
        <v>3.96996385558195e-5</v>
      </c>
    </row>
    <row r="82" spans="1:7">
      <c r="A82" s="16" t="s">
        <v>159</v>
      </c>
      <c r="B82" s="16">
        <v>470898</v>
      </c>
      <c r="C82" s="11" t="s">
        <v>85</v>
      </c>
      <c r="D82" s="5">
        <f>B82/SUM($B$2:$B$403)</f>
        <v>0.00153144059264017</v>
      </c>
      <c r="E82" s="5">
        <f>SUMIF($C$2:$C$403,C82,$D$2:$D$403)</f>
        <v>0.00312545294604891</v>
      </c>
      <c r="F82" s="5">
        <f t="shared" si="2"/>
        <v>0.00159401235340874</v>
      </c>
      <c r="G82" s="18">
        <f t="shared" si="3"/>
        <v>2.34531028878608e-6</v>
      </c>
    </row>
    <row r="83" spans="1:7">
      <c r="A83" s="16" t="s">
        <v>160</v>
      </c>
      <c r="B83" s="16">
        <v>117150</v>
      </c>
      <c r="C83" s="11" t="s">
        <v>161</v>
      </c>
      <c r="D83" s="5">
        <f>B83/SUM($B$2:$B$403)</f>
        <v>0.000380991776197385</v>
      </c>
      <c r="E83" s="5">
        <f>SUMIF($C$2:$C$403,C83,$D$2:$D$403)</f>
        <v>0.00196775178935072</v>
      </c>
      <c r="F83" s="5">
        <f t="shared" si="2"/>
        <v>0.00158676001315334</v>
      </c>
      <c r="G83" s="18">
        <f t="shared" si="3"/>
        <v>1.45154733530038e-7</v>
      </c>
    </row>
    <row r="84" spans="1:7">
      <c r="A84" s="16" t="s">
        <v>162</v>
      </c>
      <c r="B84" s="16">
        <v>257317</v>
      </c>
      <c r="C84" s="11" t="s">
        <v>126</v>
      </c>
      <c r="D84" s="5">
        <f>B84/SUM($B$2:$B$403)</f>
        <v>0.000836838761210264</v>
      </c>
      <c r="E84" s="5">
        <f>SUMIF($C$2:$C$403,C84,$D$2:$D$403)</f>
        <v>0.00241328939382117</v>
      </c>
      <c r="F84" s="5">
        <f t="shared" si="2"/>
        <v>0.00157645063261091</v>
      </c>
      <c r="G84" s="18">
        <f t="shared" si="3"/>
        <v>7.0029911226393e-7</v>
      </c>
    </row>
    <row r="85" spans="1:7">
      <c r="A85" s="16" t="s">
        <v>163</v>
      </c>
      <c r="B85" s="16">
        <v>8887</v>
      </c>
      <c r="C85" s="11" t="s">
        <v>164</v>
      </c>
      <c r="D85" s="5">
        <f>B85/SUM($B$2:$B$403)</f>
        <v>2.89020393945041e-5</v>
      </c>
      <c r="E85" s="5">
        <f>SUMIF($C$2:$C$403,C85,$D$2:$D$403)</f>
        <v>0.00152942424691894</v>
      </c>
      <c r="F85" s="5">
        <f t="shared" si="2"/>
        <v>0.00150052220752444</v>
      </c>
      <c r="G85" s="18">
        <f t="shared" si="3"/>
        <v>8.35327881161469e-10</v>
      </c>
    </row>
    <row r="86" spans="1:7">
      <c r="A86" s="16" t="s">
        <v>165</v>
      </c>
      <c r="B86" s="16">
        <v>4777</v>
      </c>
      <c r="C86" s="11" t="s">
        <v>166</v>
      </c>
      <c r="D86" s="5">
        <f>B86/SUM($B$2:$B$403)</f>
        <v>1.5535618565044e-5</v>
      </c>
      <c r="E86" s="5">
        <f>SUMIF($C$2:$C$403,C86,$D$2:$D$403)</f>
        <v>0.0014677013026556</v>
      </c>
      <c r="F86" s="5">
        <f t="shared" si="2"/>
        <v>0.00145216568409056</v>
      </c>
      <c r="G86" s="18">
        <f t="shared" si="3"/>
        <v>2.4135544419854e-10</v>
      </c>
    </row>
    <row r="87" spans="1:7">
      <c r="A87" s="16" t="s">
        <v>167</v>
      </c>
      <c r="B87" s="16">
        <v>615505</v>
      </c>
      <c r="C87" s="11" t="s">
        <v>129</v>
      </c>
      <c r="D87" s="5">
        <f>B87/SUM($B$2:$B$403)</f>
        <v>0.00200172721475349</v>
      </c>
      <c r="E87" s="5">
        <f>SUMIF($C$2:$C$403,C87,$D$2:$D$403)</f>
        <v>0.00344798695718315</v>
      </c>
      <c r="F87" s="5">
        <f t="shared" si="2"/>
        <v>0.00144625974242966</v>
      </c>
      <c r="G87" s="18">
        <f t="shared" si="3"/>
        <v>4.00691184228476e-6</v>
      </c>
    </row>
    <row r="88" spans="1:7">
      <c r="A88" s="16" t="s">
        <v>168</v>
      </c>
      <c r="B88" s="16">
        <v>50806</v>
      </c>
      <c r="C88" s="11" t="s">
        <v>169</v>
      </c>
      <c r="D88" s="5">
        <f>B88/SUM($B$2:$B$403)</f>
        <v>0.000165229775343443</v>
      </c>
      <c r="E88" s="5">
        <f>SUMIF($C$2:$C$403,C88,$D$2:$D$403)</f>
        <v>0.00160508599402293</v>
      </c>
      <c r="F88" s="5">
        <f t="shared" si="2"/>
        <v>0.00143985621867948</v>
      </c>
      <c r="G88" s="18">
        <f t="shared" si="3"/>
        <v>2.73008786600446e-8</v>
      </c>
    </row>
    <row r="89" spans="1:7">
      <c r="A89" s="16" t="s">
        <v>170</v>
      </c>
      <c r="B89" s="16">
        <v>35532</v>
      </c>
      <c r="C89" s="11" t="s">
        <v>171</v>
      </c>
      <c r="D89" s="5">
        <f>B89/SUM($B$2:$B$403)</f>
        <v>0.000115556122849727</v>
      </c>
      <c r="E89" s="5">
        <f>SUMIF($C$2:$C$403,C89,$D$2:$D$403)</f>
        <v>0.00155071620730105</v>
      </c>
      <c r="F89" s="5">
        <f t="shared" si="2"/>
        <v>0.00143516008445132</v>
      </c>
      <c r="G89" s="18">
        <f t="shared" si="3"/>
        <v>1.33532175280611e-8</v>
      </c>
    </row>
    <row r="90" spans="1:7">
      <c r="A90" s="16" t="s">
        <v>172</v>
      </c>
      <c r="B90" s="16">
        <v>142937</v>
      </c>
      <c r="C90" s="11" t="s">
        <v>173</v>
      </c>
      <c r="D90" s="5">
        <f>B90/SUM($B$2:$B$403)</f>
        <v>0.000464855497348063</v>
      </c>
      <c r="E90" s="5">
        <f>SUMIF($C$2:$C$403,C90,$D$2:$D$403)</f>
        <v>0.00185807884296827</v>
      </c>
      <c r="F90" s="5">
        <f t="shared" si="2"/>
        <v>0.00139322334562021</v>
      </c>
      <c r="G90" s="18">
        <f t="shared" si="3"/>
        <v>2.16090633414715e-7</v>
      </c>
    </row>
    <row r="91" spans="1:7">
      <c r="A91" s="16" t="s">
        <v>174</v>
      </c>
      <c r="B91" s="16">
        <v>334635</v>
      </c>
      <c r="C91" s="11" t="s">
        <v>175</v>
      </c>
      <c r="D91" s="5">
        <f>B91/SUM($B$2:$B$403)</f>
        <v>0.00108829008133002</v>
      </c>
      <c r="E91" s="5">
        <f>SUMIF($C$2:$C$403,C91,$D$2:$D$403)</f>
        <v>0.00245948647603102</v>
      </c>
      <c r="F91" s="5">
        <f t="shared" si="2"/>
        <v>0.001371196394701</v>
      </c>
      <c r="G91" s="18">
        <f t="shared" si="3"/>
        <v>1.1843753011213e-6</v>
      </c>
    </row>
    <row r="92" spans="1:7">
      <c r="A92" s="16" t="s">
        <v>176</v>
      </c>
      <c r="B92" s="16">
        <v>294815</v>
      </c>
      <c r="C92" s="11" t="s">
        <v>111</v>
      </c>
      <c r="D92" s="5">
        <f>B92/SUM($B$2:$B$403)</f>
        <v>0.000958788651298609</v>
      </c>
      <c r="E92" s="5">
        <f>SUMIF($C$2:$C$403,C92,$D$2:$D$403)</f>
        <v>0.00232002689987314</v>
      </c>
      <c r="F92" s="5">
        <f t="shared" si="2"/>
        <v>0.00136123824857453</v>
      </c>
      <c r="G92" s="18">
        <f t="shared" si="3"/>
        <v>9.19275677859005e-7</v>
      </c>
    </row>
    <row r="93" spans="1:7">
      <c r="A93" s="16" t="s">
        <v>177</v>
      </c>
      <c r="B93" s="16">
        <v>53417</v>
      </c>
      <c r="C93" s="11" t="s">
        <v>164</v>
      </c>
      <c r="D93" s="5">
        <f>B93/SUM($B$2:$B$403)</f>
        <v>0.000173721192566246</v>
      </c>
      <c r="E93" s="5">
        <f>SUMIF($C$2:$C$403,C93,$D$2:$D$403)</f>
        <v>0.00152942424691894</v>
      </c>
      <c r="F93" s="5">
        <f t="shared" si="2"/>
        <v>0.00135570305435269</v>
      </c>
      <c r="G93" s="18">
        <f t="shared" si="3"/>
        <v>3.01790527466387e-8</v>
      </c>
    </row>
    <row r="94" spans="1:7">
      <c r="A94" s="16" t="s">
        <v>178</v>
      </c>
      <c r="B94" s="16">
        <v>5581</v>
      </c>
      <c r="C94" s="11" t="s">
        <v>179</v>
      </c>
      <c r="D94" s="5">
        <f>B94/SUM($B$2:$B$403)</f>
        <v>1.81503636616099e-5</v>
      </c>
      <c r="E94" s="5">
        <f>SUMIF($C$2:$C$403,C94,$D$2:$D$403)</f>
        <v>0.00136766778968885</v>
      </c>
      <c r="F94" s="5">
        <f t="shared" si="2"/>
        <v>0.00134951742602724</v>
      </c>
      <c r="G94" s="18">
        <f t="shared" si="3"/>
        <v>3.29435701048691e-10</v>
      </c>
    </row>
    <row r="95" spans="1:7">
      <c r="A95" s="16" t="s">
        <v>180</v>
      </c>
      <c r="B95" s="16">
        <v>318430</v>
      </c>
      <c r="C95" s="11" t="s">
        <v>181</v>
      </c>
      <c r="D95" s="5">
        <f>B95/SUM($B$2:$B$403)</f>
        <v>0.00103558865808394</v>
      </c>
      <c r="E95" s="5">
        <f>SUMIF($C$2:$C$403,C95,$D$2:$D$403)</f>
        <v>0.00235748214773029</v>
      </c>
      <c r="F95" s="5">
        <f t="shared" si="2"/>
        <v>0.00132189348964635</v>
      </c>
      <c r="G95" s="18">
        <f t="shared" si="3"/>
        <v>1.07244386875209e-6</v>
      </c>
    </row>
    <row r="96" spans="1:7">
      <c r="A96" s="16" t="s">
        <v>182</v>
      </c>
      <c r="B96" s="16">
        <v>225405</v>
      </c>
      <c r="C96" s="11" t="s">
        <v>161</v>
      </c>
      <c r="D96" s="5">
        <f>B96/SUM($B$2:$B$403)</f>
        <v>0.000733055495636121</v>
      </c>
      <c r="E96" s="5">
        <f>SUMIF($C$2:$C$403,C96,$D$2:$D$403)</f>
        <v>0.00196775178935072</v>
      </c>
      <c r="F96" s="5">
        <f t="shared" si="2"/>
        <v>0.0012346962937146</v>
      </c>
      <c r="G96" s="18">
        <f t="shared" si="3"/>
        <v>5.37370359682318e-7</v>
      </c>
    </row>
    <row r="97" spans="1:7">
      <c r="A97" s="16" t="s">
        <v>183</v>
      </c>
      <c r="B97" s="16">
        <v>417476</v>
      </c>
      <c r="C97" s="11" t="s">
        <v>122</v>
      </c>
      <c r="D97" s="5">
        <f>B97/SUM($B$2:$B$403)</f>
        <v>0.00135770313922134</v>
      </c>
      <c r="E97" s="5">
        <f>SUMIF($C$2:$C$403,C97,$D$2:$D$403)</f>
        <v>0.00253551897057407</v>
      </c>
      <c r="F97" s="5">
        <f t="shared" si="2"/>
        <v>0.00117781583135274</v>
      </c>
      <c r="G97" s="18">
        <f t="shared" si="3"/>
        <v>1.84335781425147e-6</v>
      </c>
    </row>
    <row r="98" spans="1:7">
      <c r="A98" s="16" t="s">
        <v>184</v>
      </c>
      <c r="B98" s="16">
        <v>23573</v>
      </c>
      <c r="C98" s="11" t="s">
        <v>185</v>
      </c>
      <c r="D98" s="5">
        <f>B98/SUM($B$2:$B$403)</f>
        <v>7.66634156235677e-5</v>
      </c>
      <c r="E98" s="5">
        <f>SUMIF($C$2:$C$403,C98,$D$2:$D$403)</f>
        <v>0.00124585449076226</v>
      </c>
      <c r="F98" s="5">
        <f t="shared" si="2"/>
        <v>0.00116919107513869</v>
      </c>
      <c r="G98" s="18">
        <f t="shared" si="3"/>
        <v>5.87727929507188e-9</v>
      </c>
    </row>
    <row r="99" spans="1:7">
      <c r="A99" s="16" t="s">
        <v>186</v>
      </c>
      <c r="B99" s="16">
        <v>68982</v>
      </c>
      <c r="C99" s="11" t="s">
        <v>187</v>
      </c>
      <c r="D99" s="5">
        <f>B99/SUM($B$2:$B$403)</f>
        <v>0.000224341226680734</v>
      </c>
      <c r="E99" s="5">
        <f>SUMIF($C$2:$C$403,C99,$D$2:$D$403)</f>
        <v>0.00138631573543973</v>
      </c>
      <c r="F99" s="5">
        <f t="shared" si="2"/>
        <v>0.00116197450875899</v>
      </c>
      <c r="G99" s="18">
        <f t="shared" si="3"/>
        <v>5.03289859886165e-8</v>
      </c>
    </row>
    <row r="100" spans="1:7">
      <c r="A100" s="16" t="s">
        <v>188</v>
      </c>
      <c r="B100" s="16">
        <v>392458</v>
      </c>
      <c r="C100" s="11" t="s">
        <v>126</v>
      </c>
      <c r="D100" s="5">
        <f>B100/SUM($B$2:$B$403)</f>
        <v>0.00127634033719909</v>
      </c>
      <c r="E100" s="5">
        <f>SUMIF($C$2:$C$403,C100,$D$2:$D$403)</f>
        <v>0.00241328939382117</v>
      </c>
      <c r="F100" s="5">
        <f t="shared" si="2"/>
        <v>0.00113694905662208</v>
      </c>
      <c r="G100" s="18">
        <f t="shared" si="3"/>
        <v>1.62904465636148e-6</v>
      </c>
    </row>
    <row r="101" spans="1:7">
      <c r="A101" s="16" t="s">
        <v>189</v>
      </c>
      <c r="B101" s="16">
        <v>106892</v>
      </c>
      <c r="C101" s="11" t="s">
        <v>166</v>
      </c>
      <c r="D101" s="5">
        <f>B101/SUM($B$2:$B$403)</f>
        <v>0.000347631011022543</v>
      </c>
      <c r="E101" s="5">
        <f>SUMIF($C$2:$C$403,C101,$D$2:$D$403)</f>
        <v>0.0014677013026556</v>
      </c>
      <c r="F101" s="5">
        <f t="shared" si="2"/>
        <v>0.00112007029163306</v>
      </c>
      <c r="G101" s="18">
        <f t="shared" si="3"/>
        <v>1.20847319824555e-7</v>
      </c>
    </row>
    <row r="102" spans="1:7">
      <c r="A102" s="16" t="s">
        <v>190</v>
      </c>
      <c r="B102" s="16">
        <v>1012511</v>
      </c>
      <c r="C102" s="11" t="s">
        <v>74</v>
      </c>
      <c r="D102" s="5">
        <f>B102/SUM($B$2:$B$403)</f>
        <v>0.00329285842346897</v>
      </c>
      <c r="E102" s="5">
        <f>SUMIF($C$2:$C$403,C102,$D$2:$D$403)</f>
        <v>0.0044114327166637</v>
      </c>
      <c r="F102" s="5">
        <f t="shared" si="2"/>
        <v>0.00111857429319472</v>
      </c>
      <c r="G102" s="18">
        <f t="shared" si="3"/>
        <v>1.08429165970106e-5</v>
      </c>
    </row>
    <row r="103" spans="1:7">
      <c r="A103" s="16" t="s">
        <v>191</v>
      </c>
      <c r="B103" s="16">
        <v>262503</v>
      </c>
      <c r="C103" s="11" t="s">
        <v>161</v>
      </c>
      <c r="D103" s="5">
        <f>B103/SUM($B$2:$B$403)</f>
        <v>0.000853704517517218</v>
      </c>
      <c r="E103" s="5">
        <f>SUMIF($C$2:$C$403,C103,$D$2:$D$403)</f>
        <v>0.00196775178935072</v>
      </c>
      <c r="F103" s="5">
        <f t="shared" si="2"/>
        <v>0.00111404727183351</v>
      </c>
      <c r="G103" s="18">
        <f t="shared" si="3"/>
        <v>7.28811403229306e-7</v>
      </c>
    </row>
    <row r="104" spans="1:7">
      <c r="A104" s="16" t="s">
        <v>192</v>
      </c>
      <c r="B104" s="16">
        <v>611198</v>
      </c>
      <c r="C104" s="11" t="s">
        <v>131</v>
      </c>
      <c r="D104" s="5">
        <f>B104/SUM($B$2:$B$403)</f>
        <v>0.00198772011633196</v>
      </c>
      <c r="E104" s="5">
        <f>SUMIF($C$2:$C$403,C104,$D$2:$D$403)</f>
        <v>0.00309883067818761</v>
      </c>
      <c r="F104" s="5">
        <f t="shared" si="2"/>
        <v>0.00111111056185565</v>
      </c>
      <c r="G104" s="18">
        <f t="shared" si="3"/>
        <v>3.95103126087074e-6</v>
      </c>
    </row>
    <row r="105" spans="1:7">
      <c r="A105" s="16" t="s">
        <v>193</v>
      </c>
      <c r="B105" s="16">
        <v>421625</v>
      </c>
      <c r="C105" s="11" t="s">
        <v>175</v>
      </c>
      <c r="D105" s="5">
        <f>B105/SUM($B$2:$B$403)</f>
        <v>0.001371196394701</v>
      </c>
      <c r="E105" s="5">
        <f>SUMIF($C$2:$C$403,C105,$D$2:$D$403)</f>
        <v>0.00245948647603102</v>
      </c>
      <c r="F105" s="5">
        <f t="shared" si="2"/>
        <v>0.00108829008133002</v>
      </c>
      <c r="G105" s="18">
        <f t="shared" si="3"/>
        <v>1.88017955284103e-6</v>
      </c>
    </row>
    <row r="106" spans="1:7">
      <c r="A106" s="16" t="s">
        <v>194</v>
      </c>
      <c r="B106" s="16">
        <v>133381</v>
      </c>
      <c r="C106" s="11" t="s">
        <v>195</v>
      </c>
      <c r="D106" s="5">
        <f>B106/SUM($B$2:$B$403)</f>
        <v>0.000433777755876939</v>
      </c>
      <c r="E106" s="5">
        <f>SUMIF($C$2:$C$403,C106,$D$2:$D$403)</f>
        <v>0.00152162879418701</v>
      </c>
      <c r="F106" s="5">
        <f t="shared" si="2"/>
        <v>0.00108785103831007</v>
      </c>
      <c r="G106" s="18">
        <f t="shared" si="3"/>
        <v>1.88163141493633e-7</v>
      </c>
    </row>
    <row r="107" spans="1:7">
      <c r="A107" s="16" t="s">
        <v>196</v>
      </c>
      <c r="B107" s="16">
        <v>50489</v>
      </c>
      <c r="C107" s="11" t="s">
        <v>185</v>
      </c>
      <c r="D107" s="5">
        <f>B107/SUM($B$2:$B$403)</f>
        <v>0.0001641988372892</v>
      </c>
      <c r="E107" s="5">
        <f>SUMIF($C$2:$C$403,C107,$D$2:$D$403)</f>
        <v>0.00124585449076226</v>
      </c>
      <c r="F107" s="5">
        <f t="shared" si="2"/>
        <v>0.00108165565347306</v>
      </c>
      <c r="G107" s="18">
        <f t="shared" si="3"/>
        <v>2.69612581671251e-8</v>
      </c>
    </row>
    <row r="108" spans="1:7">
      <c r="A108" s="16" t="s">
        <v>197</v>
      </c>
      <c r="B108" s="16">
        <v>1387894</v>
      </c>
      <c r="C108" s="11" t="s">
        <v>51</v>
      </c>
      <c r="D108" s="5">
        <f>B108/SUM($B$2:$B$403)</f>
        <v>0.00451366794907122</v>
      </c>
      <c r="E108" s="5">
        <f>SUMIF($C$2:$C$403,C108,$D$2:$D$403)</f>
        <v>0.00559176572799746</v>
      </c>
      <c r="F108" s="5">
        <f t="shared" si="2"/>
        <v>0.00107809777892624</v>
      </c>
      <c r="G108" s="18">
        <f t="shared" si="3"/>
        <v>2.03731983544728e-5</v>
      </c>
    </row>
    <row r="109" spans="1:7">
      <c r="A109" s="16" t="s">
        <v>198</v>
      </c>
      <c r="B109" s="16">
        <v>781762</v>
      </c>
      <c r="C109" s="11" t="s">
        <v>98</v>
      </c>
      <c r="D109" s="5">
        <f>B109/SUM($B$2:$B$403)</f>
        <v>0.00254242332858404</v>
      </c>
      <c r="E109" s="5">
        <f>SUMIF($C$2:$C$403,C109,$D$2:$D$403)</f>
        <v>0.00361548349537772</v>
      </c>
      <c r="F109" s="5">
        <f t="shared" si="2"/>
        <v>0.00107306016679368</v>
      </c>
      <c r="G109" s="18">
        <f t="shared" si="3"/>
        <v>6.46391638172833e-6</v>
      </c>
    </row>
    <row r="110" spans="1:7">
      <c r="A110" s="16" t="s">
        <v>199</v>
      </c>
      <c r="B110" s="16">
        <v>80659</v>
      </c>
      <c r="C110" s="11" t="s">
        <v>200</v>
      </c>
      <c r="D110" s="5">
        <f>B110/SUM($B$2:$B$403)</f>
        <v>0.000262316821820784</v>
      </c>
      <c r="E110" s="5">
        <f>SUMIF($C$2:$C$403,C110,$D$2:$D$403)</f>
        <v>0.00130741807867021</v>
      </c>
      <c r="F110" s="5">
        <f t="shared" si="2"/>
        <v>0.00104510125684943</v>
      </c>
      <c r="G110" s="18">
        <f t="shared" si="3"/>
        <v>6.8810115010157e-8</v>
      </c>
    </row>
    <row r="111" spans="1:7">
      <c r="A111" s="16" t="s">
        <v>201</v>
      </c>
      <c r="B111" s="16">
        <v>406465</v>
      </c>
      <c r="C111" s="11" t="s">
        <v>181</v>
      </c>
      <c r="D111" s="5">
        <f>B111/SUM($B$2:$B$403)</f>
        <v>0.00132189348964635</v>
      </c>
      <c r="E111" s="5">
        <f>SUMIF($C$2:$C$403,C111,$D$2:$D$403)</f>
        <v>0.00235748214773029</v>
      </c>
      <c r="F111" s="5">
        <f t="shared" si="2"/>
        <v>0.00103558865808394</v>
      </c>
      <c r="G111" s="18">
        <f t="shared" si="3"/>
        <v>1.74740239796941e-6</v>
      </c>
    </row>
    <row r="112" spans="1:7">
      <c r="A112" s="16" t="s">
        <v>202</v>
      </c>
      <c r="B112" s="16">
        <v>400747</v>
      </c>
      <c r="C112" s="11" t="s">
        <v>111</v>
      </c>
      <c r="D112" s="5">
        <f>B112/SUM($B$2:$B$403)</f>
        <v>0.00130329757862376</v>
      </c>
      <c r="E112" s="5">
        <f>SUMIF($C$2:$C$403,C112,$D$2:$D$403)</f>
        <v>0.00232002689987314</v>
      </c>
      <c r="F112" s="5">
        <f t="shared" si="2"/>
        <v>0.00101672932124938</v>
      </c>
      <c r="G112" s="18">
        <f t="shared" si="3"/>
        <v>1.69858457844655e-6</v>
      </c>
    </row>
    <row r="113" spans="1:7">
      <c r="A113" s="16" t="s">
        <v>203</v>
      </c>
      <c r="B113" s="16">
        <v>95210</v>
      </c>
      <c r="C113" s="11" t="s">
        <v>200</v>
      </c>
      <c r="D113" s="5">
        <f>B113/SUM($B$2:$B$403)</f>
        <v>0.000309639155029902</v>
      </c>
      <c r="E113" s="5">
        <f>SUMIF($C$2:$C$403,C113,$D$2:$D$403)</f>
        <v>0.00130741807867021</v>
      </c>
      <c r="F113" s="5">
        <f t="shared" si="2"/>
        <v>0.000997778923640311</v>
      </c>
      <c r="G113" s="18">
        <f t="shared" si="3"/>
        <v>9.58764063276316e-8</v>
      </c>
    </row>
    <row r="114" spans="1:7">
      <c r="A114" s="16" t="s">
        <v>204</v>
      </c>
      <c r="B114" s="16">
        <v>74467</v>
      </c>
      <c r="C114" s="11" t="s">
        <v>205</v>
      </c>
      <c r="D114" s="5">
        <f>B114/SUM($B$2:$B$403)</f>
        <v>0.000242179381972605</v>
      </c>
      <c r="E114" s="5">
        <f>SUMIF($C$2:$C$403,C114,$D$2:$D$403)</f>
        <v>0.00122469586937139</v>
      </c>
      <c r="F114" s="5">
        <f t="shared" si="2"/>
        <v>0.000982516487398789</v>
      </c>
      <c r="G114" s="18">
        <f t="shared" si="3"/>
        <v>5.86508530526328e-8</v>
      </c>
    </row>
    <row r="115" spans="1:7">
      <c r="A115" s="16" t="s">
        <v>206</v>
      </c>
      <c r="B115" s="16">
        <v>410301</v>
      </c>
      <c r="C115" s="11" t="s">
        <v>135</v>
      </c>
      <c r="D115" s="5">
        <f>B115/SUM($B$2:$B$403)</f>
        <v>0.00133436881575385</v>
      </c>
      <c r="E115" s="5">
        <f>SUMIF($C$2:$C$403,C115,$D$2:$D$403)</f>
        <v>0.00228588236160343</v>
      </c>
      <c r="F115" s="5">
        <f t="shared" si="2"/>
        <v>0.000951513545849581</v>
      </c>
      <c r="G115" s="18">
        <f t="shared" si="3"/>
        <v>1.78054013645632e-6</v>
      </c>
    </row>
    <row r="116" spans="1:7">
      <c r="A116" s="16" t="s">
        <v>207</v>
      </c>
      <c r="B116" s="16">
        <v>504147</v>
      </c>
      <c r="C116" s="11" t="s">
        <v>156</v>
      </c>
      <c r="D116" s="5">
        <f>B116/SUM($B$2:$B$403)</f>
        <v>0.00163957201019704</v>
      </c>
      <c r="E116" s="5">
        <f>SUMIF($C$2:$C$403,C116,$D$2:$D$403)</f>
        <v>0.00258179410487636</v>
      </c>
      <c r="F116" s="5">
        <f t="shared" si="2"/>
        <v>0.000942222094679321</v>
      </c>
      <c r="G116" s="18">
        <f t="shared" si="3"/>
        <v>2.68819637662155e-6</v>
      </c>
    </row>
    <row r="117" spans="1:7">
      <c r="A117" s="16" t="s">
        <v>208</v>
      </c>
      <c r="B117" s="16">
        <v>15099</v>
      </c>
      <c r="C117" s="11" t="s">
        <v>209</v>
      </c>
      <c r="D117" s="5">
        <f>B117/SUM($B$2:$B$403)</f>
        <v>4.91045226530458e-5</v>
      </c>
      <c r="E117" s="5">
        <f>SUMIF($C$2:$C$403,C117,$D$2:$D$403)</f>
        <v>0.000986077614116127</v>
      </c>
      <c r="F117" s="5">
        <f t="shared" si="2"/>
        <v>0.000936973091463081</v>
      </c>
      <c r="G117" s="18">
        <f t="shared" si="3"/>
        <v>2.41125414498349e-9</v>
      </c>
    </row>
    <row r="118" spans="1:7">
      <c r="A118" s="16" t="s">
        <v>210</v>
      </c>
      <c r="B118" s="16">
        <v>1561129</v>
      </c>
      <c r="C118" s="11" t="s">
        <v>47</v>
      </c>
      <c r="D118" s="5">
        <f>B118/SUM($B$2:$B$403)</f>
        <v>0.00507705770877718</v>
      </c>
      <c r="E118" s="5">
        <f>SUMIF($C$2:$C$403,C118,$D$2:$D$403)</f>
        <v>0.00600918831833879</v>
      </c>
      <c r="F118" s="5">
        <f t="shared" si="2"/>
        <v>0.000932130609561605</v>
      </c>
      <c r="G118" s="18">
        <f t="shared" si="3"/>
        <v>2.57765149782538e-5</v>
      </c>
    </row>
    <row r="119" spans="1:7">
      <c r="A119" s="16" t="s">
        <v>211</v>
      </c>
      <c r="B119" s="16">
        <v>267752</v>
      </c>
      <c r="C119" s="11" t="s">
        <v>212</v>
      </c>
      <c r="D119" s="5">
        <f>B119/SUM($B$2:$B$403)</f>
        <v>0.000870775160566813</v>
      </c>
      <c r="E119" s="5">
        <f>SUMIF($C$2:$C$403,C119,$D$2:$D$403)</f>
        <v>0.00178844662000487</v>
      </c>
      <c r="F119" s="5">
        <f t="shared" si="2"/>
        <v>0.000917671459438058</v>
      </c>
      <c r="G119" s="18">
        <f t="shared" si="3"/>
        <v>7.58249380260159e-7</v>
      </c>
    </row>
    <row r="120" spans="1:7">
      <c r="A120" s="16" t="s">
        <v>213</v>
      </c>
      <c r="B120" s="16">
        <v>70329</v>
      </c>
      <c r="C120" s="11" t="s">
        <v>214</v>
      </c>
      <c r="D120" s="5">
        <f>B120/SUM($B$2:$B$403)</f>
        <v>0.000228721900368637</v>
      </c>
      <c r="E120" s="5">
        <f>SUMIF($C$2:$C$403,C120,$D$2:$D$403)</f>
        <v>0.00114271840712122</v>
      </c>
      <c r="F120" s="5">
        <f t="shared" si="2"/>
        <v>0.000913996506752586</v>
      </c>
      <c r="G120" s="18">
        <f t="shared" si="3"/>
        <v>5.23137077082409e-8</v>
      </c>
    </row>
    <row r="121" spans="1:7">
      <c r="A121" s="16" t="s">
        <v>215</v>
      </c>
      <c r="B121" s="16">
        <v>282172</v>
      </c>
      <c r="C121" s="11" t="s">
        <v>212</v>
      </c>
      <c r="D121" s="5">
        <f>B121/SUM($B$2:$B$403)</f>
        <v>0.000917671459438058</v>
      </c>
      <c r="E121" s="5">
        <f>SUMIF($C$2:$C$403,C121,$D$2:$D$403)</f>
        <v>0.00178844662000487</v>
      </c>
      <c r="F121" s="5">
        <f t="shared" si="2"/>
        <v>0.000870775160566813</v>
      </c>
      <c r="G121" s="18">
        <f t="shared" si="3"/>
        <v>8.42120907467175e-7</v>
      </c>
    </row>
    <row r="122" spans="1:7">
      <c r="A122" s="16" t="s">
        <v>216</v>
      </c>
      <c r="B122" s="16">
        <v>216924</v>
      </c>
      <c r="C122" s="11" t="s">
        <v>171</v>
      </c>
      <c r="D122" s="5">
        <f>B122/SUM($B$2:$B$403)</f>
        <v>0.000705473837471972</v>
      </c>
      <c r="E122" s="5">
        <f>SUMIF($C$2:$C$403,C122,$D$2:$D$403)</f>
        <v>0.00155071620730105</v>
      </c>
      <c r="F122" s="5">
        <f t="shared" si="2"/>
        <v>0.000845242369829078</v>
      </c>
      <c r="G122" s="18">
        <f t="shared" si="3"/>
        <v>4.9769333535743e-7</v>
      </c>
    </row>
    <row r="123" spans="1:7">
      <c r="A123" s="16" t="s">
        <v>217</v>
      </c>
      <c r="B123" s="16">
        <v>224369</v>
      </c>
      <c r="C123" s="11" t="s">
        <v>171</v>
      </c>
      <c r="D123" s="5">
        <f>B123/SUM($B$2:$B$403)</f>
        <v>0.000729686246979351</v>
      </c>
      <c r="E123" s="5">
        <f>SUMIF($C$2:$C$403,C123,$D$2:$D$403)</f>
        <v>0.00155071620730105</v>
      </c>
      <c r="F123" s="5">
        <f t="shared" si="2"/>
        <v>0.000821029960321698</v>
      </c>
      <c r="G123" s="18">
        <f t="shared" si="3"/>
        <v>5.32442019030811e-7</v>
      </c>
    </row>
    <row r="124" spans="1:7">
      <c r="A124" s="16" t="s">
        <v>218</v>
      </c>
      <c r="B124" s="16">
        <v>43740</v>
      </c>
      <c r="C124" s="11" t="s">
        <v>219</v>
      </c>
      <c r="D124" s="5">
        <f>B124/SUM($B$2:$B$403)</f>
        <v>0.000142249938462429</v>
      </c>
      <c r="E124" s="5">
        <f>SUMIF($C$2:$C$403,C124,$D$2:$D$403)</f>
        <v>0.000949224017804827</v>
      </c>
      <c r="F124" s="5">
        <f t="shared" si="2"/>
        <v>0.000806974079342398</v>
      </c>
      <c r="G124" s="18">
        <f t="shared" si="3"/>
        <v>2.0235044992565e-8</v>
      </c>
    </row>
    <row r="125" spans="1:7">
      <c r="A125" s="16" t="s">
        <v>220</v>
      </c>
      <c r="B125" s="16">
        <v>246163</v>
      </c>
      <c r="C125" s="11" t="s">
        <v>221</v>
      </c>
      <c r="D125" s="5">
        <f>B125/SUM($B$2:$B$403)</f>
        <v>0.000800564051251189</v>
      </c>
      <c r="E125" s="5">
        <f>SUMIF($C$2:$C$403,C125,$D$2:$D$403)</f>
        <v>0.00160693973121825</v>
      </c>
      <c r="F125" s="5">
        <f t="shared" si="2"/>
        <v>0.000806375679967064</v>
      </c>
      <c r="G125" s="18">
        <f t="shared" si="3"/>
        <v>6.40902800155717e-7</v>
      </c>
    </row>
    <row r="126" spans="1:7">
      <c r="A126" s="16" t="s">
        <v>222</v>
      </c>
      <c r="B126" s="16">
        <v>247950</v>
      </c>
      <c r="C126" s="11" t="s">
        <v>221</v>
      </c>
      <c r="D126" s="5">
        <f>B126/SUM($B$2:$B$403)</f>
        <v>0.000806375679967064</v>
      </c>
      <c r="E126" s="5">
        <f>SUMIF($C$2:$C$403,C126,$D$2:$D$403)</f>
        <v>0.00160693973121825</v>
      </c>
      <c r="F126" s="5">
        <f t="shared" si="2"/>
        <v>0.000800564051251189</v>
      </c>
      <c r="G126" s="18">
        <f t="shared" si="3"/>
        <v>6.50241737242345e-7</v>
      </c>
    </row>
    <row r="127" spans="1:7">
      <c r="A127" s="16" t="s">
        <v>223</v>
      </c>
      <c r="B127" s="16">
        <v>63944</v>
      </c>
      <c r="C127" s="11" t="s">
        <v>224</v>
      </c>
      <c r="D127" s="5">
        <f>B127/SUM($B$2:$B$403)</f>
        <v>0.000207956791610462</v>
      </c>
      <c r="E127" s="5">
        <f>SUMIF($C$2:$C$403,C127,$D$2:$D$403)</f>
        <v>0.00100584755869576</v>
      </c>
      <c r="F127" s="5">
        <f t="shared" si="2"/>
        <v>0.000797890767085297</v>
      </c>
      <c r="G127" s="18">
        <f t="shared" si="3"/>
        <v>4.32460271769169e-8</v>
      </c>
    </row>
    <row r="128" spans="1:7">
      <c r="A128" s="16" t="s">
        <v>225</v>
      </c>
      <c r="B128" s="16">
        <v>1655594</v>
      </c>
      <c r="C128" s="11" t="s">
        <v>45</v>
      </c>
      <c r="D128" s="5">
        <f>B128/SUM($B$2:$B$403)</f>
        <v>0.00538427399677109</v>
      </c>
      <c r="E128" s="5">
        <f>SUMIF($C$2:$C$403,C128,$D$2:$D$403)</f>
        <v>0.0061816639295966</v>
      </c>
      <c r="F128" s="5">
        <f t="shared" si="2"/>
        <v>0.000797389932825508</v>
      </c>
      <c r="G128" s="18">
        <f t="shared" si="3"/>
        <v>2.89904064723053e-5</v>
      </c>
    </row>
    <row r="129" spans="1:7">
      <c r="A129" s="16" t="s">
        <v>226</v>
      </c>
      <c r="B129" s="16">
        <v>713880</v>
      </c>
      <c r="C129" s="11" t="s">
        <v>109</v>
      </c>
      <c r="D129" s="5">
        <f>B129/SUM($B$2:$B$403)</f>
        <v>0.00232165948947323</v>
      </c>
      <c r="E129" s="5">
        <f>SUMIF($C$2:$C$403,C129,$D$2:$D$403)</f>
        <v>0.00310352030807473</v>
      </c>
      <c r="F129" s="5">
        <f t="shared" si="2"/>
        <v>0.0007818608186015</v>
      </c>
      <c r="G129" s="18">
        <f t="shared" si="3"/>
        <v>5.3901027850611e-6</v>
      </c>
    </row>
    <row r="130" spans="1:7">
      <c r="A130" s="16" t="s">
        <v>227</v>
      </c>
      <c r="B130" s="16">
        <v>557152</v>
      </c>
      <c r="C130" s="11" t="s">
        <v>143</v>
      </c>
      <c r="D130" s="5">
        <f>B130/SUM($B$2:$B$403)</f>
        <v>0.00181195330850982</v>
      </c>
      <c r="E130" s="5">
        <f>SUMIF($C$2:$C$403,C130,$D$2:$D$403)</f>
        <v>0.00257762807444265</v>
      </c>
      <c r="F130" s="5">
        <f t="shared" ref="F130:F193" si="4">E130-D130</f>
        <v>0.000765674765932832</v>
      </c>
      <c r="G130" s="18">
        <f t="shared" si="3"/>
        <v>3.28317479221968e-6</v>
      </c>
    </row>
    <row r="131" spans="1:7">
      <c r="A131" s="16" t="s">
        <v>228</v>
      </c>
      <c r="B131" s="16">
        <v>129608</v>
      </c>
      <c r="C131" s="11" t="s">
        <v>229</v>
      </c>
      <c r="D131" s="5">
        <f>B131/SUM($B$2:$B$403)</f>
        <v>0.000421507316512084</v>
      </c>
      <c r="E131" s="5">
        <f>SUMIF($C$2:$C$403,C131,$D$2:$D$403)</f>
        <v>0.00118650237880663</v>
      </c>
      <c r="F131" s="5">
        <f t="shared" si="4"/>
        <v>0.000764995062294546</v>
      </c>
      <c r="G131" s="18">
        <f t="shared" ref="G131:G194" si="5">D131*D131</f>
        <v>1.77668417873218e-7</v>
      </c>
    </row>
    <row r="132" spans="1:7">
      <c r="A132" s="16" t="s">
        <v>230</v>
      </c>
      <c r="B132" s="16">
        <v>528078</v>
      </c>
      <c r="C132" s="11" t="s">
        <v>149</v>
      </c>
      <c r="D132" s="5">
        <f>B132/SUM($B$2:$B$403)</f>
        <v>0.00171739970286609</v>
      </c>
      <c r="E132" s="5">
        <f>SUMIF($C$2:$C$403,C132,$D$2:$D$403)</f>
        <v>0.00247674574497067</v>
      </c>
      <c r="F132" s="5">
        <f t="shared" si="4"/>
        <v>0.000759346042104577</v>
      </c>
      <c r="G132" s="18">
        <f t="shared" si="5"/>
        <v>2.94946173940454e-6</v>
      </c>
    </row>
    <row r="133" spans="1:7">
      <c r="A133" s="16" t="s">
        <v>231</v>
      </c>
      <c r="B133" s="16">
        <v>7042</v>
      </c>
      <c r="C133" s="11" t="s">
        <v>232</v>
      </c>
      <c r="D133" s="5">
        <f>B133/SUM($B$2:$B$403)</f>
        <v>2.29017847885786e-5</v>
      </c>
      <c r="E133" s="5">
        <f>SUMIF($C$2:$C$403,C133,$D$2:$D$403)</f>
        <v>0.000763668176723154</v>
      </c>
      <c r="F133" s="5">
        <f t="shared" si="4"/>
        <v>0.000740766391934575</v>
      </c>
      <c r="G133" s="18">
        <f t="shared" si="5"/>
        <v>5.2449174650237e-10</v>
      </c>
    </row>
    <row r="134" spans="1:7">
      <c r="A134" s="16" t="s">
        <v>233</v>
      </c>
      <c r="B134" s="16">
        <v>213734</v>
      </c>
      <c r="C134" s="11" t="s">
        <v>234</v>
      </c>
      <c r="D134" s="5">
        <f>B134/SUM($B$2:$B$403)</f>
        <v>0.000695099413519179</v>
      </c>
      <c r="E134" s="5">
        <f>SUMIF($C$2:$C$403,C134,$D$2:$D$403)</f>
        <v>0.00143317300826475</v>
      </c>
      <c r="F134" s="5">
        <f t="shared" si="4"/>
        <v>0.000738073594745575</v>
      </c>
      <c r="G134" s="18">
        <f t="shared" si="5"/>
        <v>4.83163194674707e-7</v>
      </c>
    </row>
    <row r="135" spans="1:7">
      <c r="A135" s="16" t="s">
        <v>235</v>
      </c>
      <c r="B135" s="16">
        <v>37959</v>
      </c>
      <c r="C135" s="11" t="s">
        <v>236</v>
      </c>
      <c r="D135" s="5">
        <f>B135/SUM($B$2:$B$403)</f>
        <v>0.000123449140697196</v>
      </c>
      <c r="E135" s="5">
        <f>SUMIF($C$2:$C$403,C135,$D$2:$D$403)</f>
        <v>0.000860787744905677</v>
      </c>
      <c r="F135" s="5">
        <f t="shared" si="4"/>
        <v>0.00073733860420848</v>
      </c>
      <c r="G135" s="18">
        <f t="shared" si="5"/>
        <v>1.52396903388761e-8</v>
      </c>
    </row>
    <row r="136" spans="1:7">
      <c r="A136" s="16" t="s">
        <v>237</v>
      </c>
      <c r="B136" s="16">
        <v>694713</v>
      </c>
      <c r="C136" s="11" t="s">
        <v>114</v>
      </c>
      <c r="D136" s="5">
        <f>B136/SUM($B$2:$B$403)</f>
        <v>0.00225932513715249</v>
      </c>
      <c r="E136" s="5">
        <f>SUMIF($C$2:$C$403,C136,$D$2:$D$403)</f>
        <v>0.00298976588769204</v>
      </c>
      <c r="F136" s="5">
        <f t="shared" si="4"/>
        <v>0.000730440750539555</v>
      </c>
      <c r="G136" s="18">
        <f t="shared" si="5"/>
        <v>5.1045500753691e-6</v>
      </c>
    </row>
    <row r="137" spans="1:7">
      <c r="A137" s="16" t="s">
        <v>238</v>
      </c>
      <c r="B137" s="16">
        <v>41951</v>
      </c>
      <c r="C137" s="11" t="s">
        <v>239</v>
      </c>
      <c r="D137" s="5">
        <f>B137/SUM($B$2:$B$403)</f>
        <v>0.000136431805405518</v>
      </c>
      <c r="E137" s="5">
        <f>SUMIF($C$2:$C$403,C137,$D$2:$D$403)</f>
        <v>0.000838253455385645</v>
      </c>
      <c r="F137" s="5">
        <f t="shared" si="4"/>
        <v>0.000701821649980127</v>
      </c>
      <c r="G137" s="18">
        <f t="shared" si="5"/>
        <v>1.86136375262093e-8</v>
      </c>
    </row>
    <row r="138" spans="1:7">
      <c r="A138" s="16" t="s">
        <v>240</v>
      </c>
      <c r="B138" s="16">
        <v>226948</v>
      </c>
      <c r="C138" s="11" t="s">
        <v>234</v>
      </c>
      <c r="D138" s="5">
        <f>B138/SUM($B$2:$B$403)</f>
        <v>0.000738073594745575</v>
      </c>
      <c r="E138" s="5">
        <f>SUMIF($C$2:$C$403,C138,$D$2:$D$403)</f>
        <v>0.00143317300826475</v>
      </c>
      <c r="F138" s="5">
        <f t="shared" si="4"/>
        <v>0.000695099413519179</v>
      </c>
      <c r="G138" s="18">
        <f t="shared" si="5"/>
        <v>5.44752631260655e-7</v>
      </c>
    </row>
    <row r="139" spans="1:7">
      <c r="A139" s="16" t="s">
        <v>241</v>
      </c>
      <c r="B139" s="16">
        <v>33876</v>
      </c>
      <c r="C139" s="11" t="s">
        <v>242</v>
      </c>
      <c r="D139" s="5">
        <f>B139/SUM($B$2:$B$403)</f>
        <v>0.000110170528471725</v>
      </c>
      <c r="E139" s="5">
        <f>SUMIF($C$2:$C$403,C139,$D$2:$D$403)</f>
        <v>0.000801647024033722</v>
      </c>
      <c r="F139" s="5">
        <f t="shared" si="4"/>
        <v>0.000691476495561997</v>
      </c>
      <c r="G139" s="18">
        <f t="shared" si="5"/>
        <v>1.21375453437392e-8</v>
      </c>
    </row>
    <row r="140" spans="1:7">
      <c r="A140" s="16" t="s">
        <v>243</v>
      </c>
      <c r="B140" s="16">
        <v>106173</v>
      </c>
      <c r="C140" s="11" t="s">
        <v>244</v>
      </c>
      <c r="D140" s="5">
        <f>B140/SUM($B$2:$B$403)</f>
        <v>0.000345292700420017</v>
      </c>
      <c r="E140" s="5">
        <f>SUMIF($C$2:$C$403,C140,$D$2:$D$403)</f>
        <v>0.00102020914370376</v>
      </c>
      <c r="F140" s="5">
        <f t="shared" si="4"/>
        <v>0.000674916443283746</v>
      </c>
      <c r="G140" s="18">
        <f t="shared" si="5"/>
        <v>1.19227048963347e-7</v>
      </c>
    </row>
    <row r="141" spans="1:7">
      <c r="A141" s="16" t="s">
        <v>245</v>
      </c>
      <c r="B141" s="16">
        <v>30421</v>
      </c>
      <c r="C141" s="11" t="s">
        <v>246</v>
      </c>
      <c r="D141" s="5">
        <f>B141/SUM($B$2:$B$403)</f>
        <v>9.89342793316316e-5</v>
      </c>
      <c r="E141" s="5">
        <f>SUMIF($C$2:$C$403,C141,$D$2:$D$403)</f>
        <v>0.000753505143854039</v>
      </c>
      <c r="F141" s="5">
        <f t="shared" si="4"/>
        <v>0.000654570864522407</v>
      </c>
      <c r="G141" s="18">
        <f t="shared" si="5"/>
        <v>9.78799162686931e-9</v>
      </c>
    </row>
    <row r="142" spans="1:7">
      <c r="A142" s="16" t="s">
        <v>247</v>
      </c>
      <c r="B142" s="16">
        <v>63052</v>
      </c>
      <c r="C142" s="11" t="s">
        <v>239</v>
      </c>
      <c r="D142" s="5">
        <f>B142/SUM($B$2:$B$403)</f>
        <v>0.000205055855508301</v>
      </c>
      <c r="E142" s="5">
        <f>SUMIF($C$2:$C$403,C142,$D$2:$D$403)</f>
        <v>0.000838253455385645</v>
      </c>
      <c r="F142" s="5">
        <f t="shared" si="4"/>
        <v>0.000633197599877344</v>
      </c>
      <c r="G142" s="18">
        <f t="shared" si="5"/>
        <v>4.20479038782414e-8</v>
      </c>
    </row>
    <row r="143" spans="1:7">
      <c r="A143" s="16" t="s">
        <v>248</v>
      </c>
      <c r="B143" s="16">
        <v>173440</v>
      </c>
      <c r="C143" s="11" t="s">
        <v>249</v>
      </c>
      <c r="D143" s="5">
        <f>B143/SUM($B$2:$B$403)</f>
        <v>0.00056405645466218</v>
      </c>
      <c r="E143" s="5">
        <f>SUMIF($C$2:$C$403,C143,$D$2:$D$403)</f>
        <v>0.00118597227501218</v>
      </c>
      <c r="F143" s="5">
        <f t="shared" si="4"/>
        <v>0.000621915820349996</v>
      </c>
      <c r="G143" s="18">
        <f t="shared" si="5"/>
        <v>3.18159684046068e-7</v>
      </c>
    </row>
    <row r="144" spans="1:7">
      <c r="A144" s="16" t="s">
        <v>250</v>
      </c>
      <c r="B144" s="16">
        <v>35299</v>
      </c>
      <c r="C144" s="11" t="s">
        <v>251</v>
      </c>
      <c r="D144" s="5">
        <f>B144/SUM($B$2:$B$403)</f>
        <v>0.000114798367119005</v>
      </c>
      <c r="E144" s="5">
        <f>SUMIF($C$2:$C$403,C144,$D$2:$D$403)</f>
        <v>0.000718235354585062</v>
      </c>
      <c r="F144" s="5">
        <f t="shared" si="4"/>
        <v>0.000603436987466057</v>
      </c>
      <c r="G144" s="18">
        <f t="shared" si="5"/>
        <v>1.31786650931899e-8</v>
      </c>
    </row>
    <row r="145" spans="1:7">
      <c r="A145" s="16" t="s">
        <v>252</v>
      </c>
      <c r="B145" s="16">
        <v>138266</v>
      </c>
      <c r="C145" s="11" t="s">
        <v>253</v>
      </c>
      <c r="D145" s="5">
        <f>B145/SUM($B$2:$B$403)</f>
        <v>0.000449664608857939</v>
      </c>
      <c r="E145" s="5">
        <f>SUMIF($C$2:$C$403,C145,$D$2:$D$403)</f>
        <v>0.00104837619256117</v>
      </c>
      <c r="F145" s="5">
        <f t="shared" si="4"/>
        <v>0.000598711583703233</v>
      </c>
      <c r="G145" s="18">
        <f t="shared" si="5"/>
        <v>2.02198260459364e-7</v>
      </c>
    </row>
    <row r="146" spans="1:7">
      <c r="A146" s="16" t="s">
        <v>254</v>
      </c>
      <c r="B146" s="16">
        <v>226145</v>
      </c>
      <c r="C146" s="11" t="s">
        <v>200</v>
      </c>
      <c r="D146" s="5">
        <f>B146/SUM($B$2:$B$403)</f>
        <v>0.000735462101819527</v>
      </c>
      <c r="E146" s="5">
        <f>SUMIF($C$2:$C$403,C146,$D$2:$D$403)</f>
        <v>0.00130741807867021</v>
      </c>
      <c r="F146" s="5">
        <f t="shared" si="4"/>
        <v>0.000571955976850686</v>
      </c>
      <c r="G146" s="18">
        <f t="shared" si="5"/>
        <v>5.40904503212796e-7</v>
      </c>
    </row>
    <row r="147" spans="1:7">
      <c r="A147" s="16" t="s">
        <v>255</v>
      </c>
      <c r="B147" s="16">
        <v>4855</v>
      </c>
      <c r="C147" s="11" t="s">
        <v>256</v>
      </c>
      <c r="D147" s="5">
        <f>B147/SUM($B$2:$B$403)</f>
        <v>1.57892878654571e-5</v>
      </c>
      <c r="E147" s="5">
        <f>SUMIF($C$2:$C$403,C147,$D$2:$D$403)</f>
        <v>0.000584164624975696</v>
      </c>
      <c r="F147" s="5">
        <f t="shared" si="4"/>
        <v>0.000568375337110239</v>
      </c>
      <c r="G147" s="18">
        <f t="shared" si="5"/>
        <v>2.49301611298272e-10</v>
      </c>
    </row>
    <row r="148" spans="1:7">
      <c r="A148" s="16" t="s">
        <v>257</v>
      </c>
      <c r="B148" s="16">
        <v>191231</v>
      </c>
      <c r="C148" s="11" t="s">
        <v>249</v>
      </c>
      <c r="D148" s="5">
        <f>B148/SUM($B$2:$B$403)</f>
        <v>0.000621915820349996</v>
      </c>
      <c r="E148" s="5">
        <f>SUMIF($C$2:$C$403,C148,$D$2:$D$403)</f>
        <v>0.00118597227501218</v>
      </c>
      <c r="F148" s="5">
        <f t="shared" si="4"/>
        <v>0.00056405645466218</v>
      </c>
      <c r="G148" s="18">
        <f t="shared" si="5"/>
        <v>3.86779287601609e-7</v>
      </c>
    </row>
    <row r="149" spans="1:7">
      <c r="A149" s="16" t="s">
        <v>258</v>
      </c>
      <c r="B149" s="16">
        <v>1470</v>
      </c>
      <c r="C149" s="11" t="s">
        <v>259</v>
      </c>
      <c r="D149" s="5">
        <f>B149/SUM($B$2:$B$403)</f>
        <v>4.78069066163172e-6</v>
      </c>
      <c r="E149" s="5">
        <f>SUMIF($C$2:$C$403,C149,$D$2:$D$403)</f>
        <v>0.000567139512313355</v>
      </c>
      <c r="F149" s="5">
        <f t="shared" si="4"/>
        <v>0.000562358821651723</v>
      </c>
      <c r="G149" s="18">
        <f t="shared" si="5"/>
        <v>2.28550032022127e-11</v>
      </c>
    </row>
    <row r="150" spans="1:7">
      <c r="A150" s="16" t="s">
        <v>260</v>
      </c>
      <c r="B150" s="16">
        <v>11817</v>
      </c>
      <c r="C150" s="11" t="s">
        <v>256</v>
      </c>
      <c r="D150" s="5">
        <f>B150/SUM($B$2:$B$403)</f>
        <v>3.84308990125864e-5</v>
      </c>
      <c r="E150" s="5">
        <f>SUMIF($C$2:$C$403,C150,$D$2:$D$403)</f>
        <v>0.000584164624975696</v>
      </c>
      <c r="F150" s="5">
        <f t="shared" si="4"/>
        <v>0.00054573372596311</v>
      </c>
      <c r="G150" s="18">
        <f t="shared" si="5"/>
        <v>1.47693399891561e-9</v>
      </c>
    </row>
    <row r="151" spans="1:7">
      <c r="A151" s="16" t="s">
        <v>261</v>
      </c>
      <c r="B151" s="16">
        <v>603717</v>
      </c>
      <c r="C151" s="11" t="s">
        <v>137</v>
      </c>
      <c r="D151" s="5">
        <f>B151/SUM($B$2:$B$403)</f>
        <v>0.00196339062868593</v>
      </c>
      <c r="E151" s="5">
        <f>SUMIF($C$2:$C$403,C151,$D$2:$D$403)</f>
        <v>0.00250898776348728</v>
      </c>
      <c r="F151" s="5">
        <f t="shared" si="4"/>
        <v>0.000545597134801349</v>
      </c>
      <c r="G151" s="18">
        <f t="shared" si="5"/>
        <v>3.85490276081173e-6</v>
      </c>
    </row>
    <row r="152" spans="1:7">
      <c r="A152" s="16" t="s">
        <v>262</v>
      </c>
      <c r="B152" s="16">
        <v>102022</v>
      </c>
      <c r="C152" s="11" t="s">
        <v>236</v>
      </c>
      <c r="D152" s="5">
        <f>B152/SUM($B$2:$B$403)</f>
        <v>0.000331792940599314</v>
      </c>
      <c r="E152" s="5">
        <f>SUMIF($C$2:$C$403,C152,$D$2:$D$403)</f>
        <v>0.000860787744905677</v>
      </c>
      <c r="F152" s="5">
        <f t="shared" si="4"/>
        <v>0.000528994804306363</v>
      </c>
      <c r="G152" s="18">
        <f t="shared" si="5"/>
        <v>1.1008655543154e-7</v>
      </c>
    </row>
    <row r="153" spans="1:7">
      <c r="A153" s="16" t="s">
        <v>263</v>
      </c>
      <c r="B153" s="16">
        <v>587309</v>
      </c>
      <c r="C153" s="11" t="s">
        <v>141</v>
      </c>
      <c r="D153" s="5">
        <f>B153/SUM($B$2:$B$403)</f>
        <v>0.00191002901482467</v>
      </c>
      <c r="E153" s="5">
        <f>SUMIF($C$2:$C$403,C153,$D$2:$D$403)</f>
        <v>0.0024148732008635</v>
      </c>
      <c r="F153" s="5">
        <f t="shared" si="4"/>
        <v>0.000504844186038828</v>
      </c>
      <c r="G153" s="18">
        <f t="shared" si="5"/>
        <v>3.64821083747209e-6</v>
      </c>
    </row>
    <row r="154" spans="1:7">
      <c r="A154" s="16" t="s">
        <v>264</v>
      </c>
      <c r="B154" s="16">
        <v>1057000</v>
      </c>
      <c r="C154" s="11" t="s">
        <v>63</v>
      </c>
      <c r="D154" s="5">
        <f>B154/SUM($B$2:$B$403)</f>
        <v>0.00343754423764947</v>
      </c>
      <c r="E154" s="5">
        <f>SUMIF($C$2:$C$403,C154,$D$2:$D$403)</f>
        <v>0.00393686298597802</v>
      </c>
      <c r="F154" s="5">
        <f t="shared" si="4"/>
        <v>0.000499318748328547</v>
      </c>
      <c r="G154" s="18">
        <f t="shared" si="5"/>
        <v>1.18167103857971e-5</v>
      </c>
    </row>
    <row r="155" spans="1:7">
      <c r="A155" s="16" t="s">
        <v>265</v>
      </c>
      <c r="B155" s="16">
        <v>3058</v>
      </c>
      <c r="C155" s="11" t="s">
        <v>266</v>
      </c>
      <c r="D155" s="5">
        <f>B155/SUM($B$2:$B$403)</f>
        <v>9.94513744440122e-6</v>
      </c>
      <c r="E155" s="5">
        <f>SUMIF($C$2:$C$403,C155,$D$2:$D$403)</f>
        <v>0.000501848936991642</v>
      </c>
      <c r="F155" s="5">
        <f t="shared" si="4"/>
        <v>0.000491903799547241</v>
      </c>
      <c r="G155" s="18">
        <f t="shared" si="5"/>
        <v>9.89057587880312e-11</v>
      </c>
    </row>
    <row r="156" spans="1:7">
      <c r="A156" s="16" t="s">
        <v>267</v>
      </c>
      <c r="B156" s="16">
        <v>588318</v>
      </c>
      <c r="C156" s="11" t="s">
        <v>139</v>
      </c>
      <c r="D156" s="5">
        <f>B156/SUM($B$2:$B$403)</f>
        <v>0.00191331045487745</v>
      </c>
      <c r="E156" s="5">
        <f>SUMIF($C$2:$C$403,C156,$D$2:$D$403)</f>
        <v>0.00239124292987886</v>
      </c>
      <c r="F156" s="5">
        <f t="shared" si="4"/>
        <v>0.000477932475001411</v>
      </c>
      <c r="G156" s="18">
        <f t="shared" si="5"/>
        <v>3.66075689674335e-6</v>
      </c>
    </row>
    <row r="157" spans="1:7">
      <c r="A157" s="16" t="s">
        <v>268</v>
      </c>
      <c r="B157" s="16">
        <v>1132617</v>
      </c>
      <c r="C157" s="11" t="s">
        <v>65</v>
      </c>
      <c r="D157" s="5">
        <f>B157/SUM($B$2:$B$403)</f>
        <v>0.00368346361571791</v>
      </c>
      <c r="E157" s="5">
        <f>SUMIF($C$2:$C$403,C157,$D$2:$D$403)</f>
        <v>0.00416073915227466</v>
      </c>
      <c r="F157" s="5">
        <f t="shared" si="4"/>
        <v>0.000477275536556751</v>
      </c>
      <c r="G157" s="18">
        <f t="shared" si="5"/>
        <v>1.35679042083177e-5</v>
      </c>
    </row>
    <row r="158" spans="1:7">
      <c r="A158" s="16" t="s">
        <v>269</v>
      </c>
      <c r="B158" s="16">
        <v>428398</v>
      </c>
      <c r="C158" s="11" t="s">
        <v>173</v>
      </c>
      <c r="D158" s="5">
        <f>B158/SUM($B$2:$B$403)</f>
        <v>0.00139322334562021</v>
      </c>
      <c r="E158" s="5">
        <f>SUMIF($C$2:$C$403,C158,$D$2:$D$403)</f>
        <v>0.00185807884296827</v>
      </c>
      <c r="F158" s="5">
        <f t="shared" si="4"/>
        <v>0.000464855497348063</v>
      </c>
      <c r="G158" s="18">
        <f t="shared" si="5"/>
        <v>1.94107129078116e-6</v>
      </c>
    </row>
    <row r="159" spans="1:7">
      <c r="A159" s="16" t="s">
        <v>270</v>
      </c>
      <c r="B159" s="16">
        <v>2028466</v>
      </c>
      <c r="C159" s="11" t="s">
        <v>22</v>
      </c>
      <c r="D159" s="5">
        <f>B159/SUM($B$2:$B$403)</f>
        <v>0.00659691732220234</v>
      </c>
      <c r="E159" s="5">
        <f>SUMIF($C$2:$C$403,C159,$D$2:$D$403)</f>
        <v>0.00705783444105297</v>
      </c>
      <c r="F159" s="5">
        <f t="shared" si="4"/>
        <v>0.000460917118850624</v>
      </c>
      <c r="G159" s="18">
        <f t="shared" si="5"/>
        <v>4.35193181559733e-5</v>
      </c>
    </row>
    <row r="160" spans="1:7">
      <c r="A160" s="16" t="s">
        <v>271</v>
      </c>
      <c r="B160" s="16">
        <v>1019</v>
      </c>
      <c r="C160" s="11" t="s">
        <v>272</v>
      </c>
      <c r="D160" s="5">
        <f>B160/SUM($B$2:$B$403)</f>
        <v>3.31396175796103e-6</v>
      </c>
      <c r="E160" s="5">
        <f>SUMIF($C$2:$C$403,C160,$D$2:$D$403)</f>
        <v>0.000463369255421284</v>
      </c>
      <c r="F160" s="5">
        <f t="shared" si="4"/>
        <v>0.000460055293663323</v>
      </c>
      <c r="G160" s="18">
        <f t="shared" si="5"/>
        <v>1.09823425332282e-11</v>
      </c>
    </row>
    <row r="161" spans="1:7">
      <c r="A161" s="16" t="s">
        <v>273</v>
      </c>
      <c r="B161" s="16">
        <v>124700</v>
      </c>
      <c r="C161" s="11" t="s">
        <v>236</v>
      </c>
      <c r="D161" s="5">
        <f>B161/SUM($B$2:$B$403)</f>
        <v>0.000405545663609167</v>
      </c>
      <c r="E161" s="5">
        <f>SUMIF($C$2:$C$403,C161,$D$2:$D$403)</f>
        <v>0.000860787744905677</v>
      </c>
      <c r="F161" s="5">
        <f t="shared" si="4"/>
        <v>0.00045524208129651</v>
      </c>
      <c r="G161" s="18">
        <f t="shared" si="5"/>
        <v>1.64467285272199e-7</v>
      </c>
    </row>
    <row r="162" spans="1:7">
      <c r="A162" s="16" t="s">
        <v>274</v>
      </c>
      <c r="B162" s="16">
        <v>184096</v>
      </c>
      <c r="C162" s="11" t="s">
        <v>253</v>
      </c>
      <c r="D162" s="5">
        <f>B162/SUM($B$2:$B$403)</f>
        <v>0.000598711583703233</v>
      </c>
      <c r="E162" s="5">
        <f>SUMIF($C$2:$C$403,C162,$D$2:$D$403)</f>
        <v>0.00104837619256117</v>
      </c>
      <c r="F162" s="5">
        <f t="shared" si="4"/>
        <v>0.000449664608857939</v>
      </c>
      <c r="G162" s="18">
        <f t="shared" si="5"/>
        <v>3.58455560460433e-7</v>
      </c>
    </row>
    <row r="163" spans="1:7">
      <c r="A163" s="16" t="s">
        <v>275</v>
      </c>
      <c r="B163" s="16">
        <v>98530</v>
      </c>
      <c r="C163" s="11" t="s">
        <v>232</v>
      </c>
      <c r="D163" s="5">
        <f>B163/SUM($B$2:$B$403)</f>
        <v>0.00032043636115005</v>
      </c>
      <c r="E163" s="5">
        <f>SUMIF($C$2:$C$403,C163,$D$2:$D$403)</f>
        <v>0.000763668176723154</v>
      </c>
      <c r="F163" s="5">
        <f t="shared" si="4"/>
        <v>0.000443231815573104</v>
      </c>
      <c r="G163" s="18">
        <f t="shared" si="5"/>
        <v>1.02679461547085e-7</v>
      </c>
    </row>
    <row r="164" spans="1:7">
      <c r="A164" s="16" t="s">
        <v>276</v>
      </c>
      <c r="B164" s="16">
        <v>334500</v>
      </c>
      <c r="C164" s="11" t="s">
        <v>195</v>
      </c>
      <c r="D164" s="5">
        <f>B164/SUM($B$2:$B$403)</f>
        <v>0.00108785103831007</v>
      </c>
      <c r="E164" s="5">
        <f>SUMIF($C$2:$C$403,C164,$D$2:$D$403)</f>
        <v>0.00152162879418701</v>
      </c>
      <c r="F164" s="5">
        <f t="shared" si="4"/>
        <v>0.000433777755876939</v>
      </c>
      <c r="G164" s="18">
        <f t="shared" si="5"/>
        <v>1.18341988155231e-6</v>
      </c>
    </row>
    <row r="165" spans="1:7">
      <c r="A165" s="16" t="s">
        <v>277</v>
      </c>
      <c r="B165" s="16">
        <v>2954203</v>
      </c>
      <c r="C165" s="11" t="s">
        <v>12</v>
      </c>
      <c r="D165" s="5">
        <f>B165/SUM($B$2:$B$403)</f>
        <v>0.00960757190113225</v>
      </c>
      <c r="E165" s="5">
        <f>SUMIF($C$2:$C$403,C165,$D$2:$D$403)</f>
        <v>0.0100340290211729</v>
      </c>
      <c r="F165" s="5">
        <f t="shared" si="4"/>
        <v>0.000426457120040658</v>
      </c>
      <c r="G165" s="18">
        <f t="shared" si="5"/>
        <v>9.23054378354259e-5</v>
      </c>
    </row>
    <row r="166" spans="1:7">
      <c r="A166" s="16" t="s">
        <v>278</v>
      </c>
      <c r="B166" s="16">
        <v>235226</v>
      </c>
      <c r="C166" s="11" t="s">
        <v>229</v>
      </c>
      <c r="D166" s="5">
        <f>B166/SUM($B$2:$B$403)</f>
        <v>0.000764995062294546</v>
      </c>
      <c r="E166" s="5">
        <f>SUMIF($C$2:$C$403,C166,$D$2:$D$403)</f>
        <v>0.00118650237880663</v>
      </c>
      <c r="F166" s="5">
        <f t="shared" si="4"/>
        <v>0.000421507316512084</v>
      </c>
      <c r="G166" s="18">
        <f t="shared" si="5"/>
        <v>5.85217445335036e-7</v>
      </c>
    </row>
    <row r="167" spans="1:7">
      <c r="A167" s="16" t="s">
        <v>279</v>
      </c>
      <c r="B167" s="16">
        <v>940985</v>
      </c>
      <c r="C167" s="11" t="s">
        <v>81</v>
      </c>
      <c r="D167" s="5">
        <f>B167/SUM($B$2:$B$403)</f>
        <v>0.00306024367499015</v>
      </c>
      <c r="E167" s="5">
        <f>SUMIF($C$2:$C$403,C167,$D$2:$D$403)</f>
        <v>0.00346854717919868</v>
      </c>
      <c r="F167" s="5">
        <f t="shared" si="4"/>
        <v>0.00040830350420853</v>
      </c>
      <c r="G167" s="18">
        <f t="shared" si="5"/>
        <v>9.36509135031722e-6</v>
      </c>
    </row>
    <row r="168" spans="1:7">
      <c r="A168" s="16" t="s">
        <v>280</v>
      </c>
      <c r="B168" s="16">
        <v>112440</v>
      </c>
      <c r="C168" s="11" t="s">
        <v>281</v>
      </c>
      <c r="D168" s="5">
        <f>B168/SUM($B$2:$B$403)</f>
        <v>0.000365674053057055</v>
      </c>
      <c r="E168" s="5">
        <f>SUMIF($C$2:$C$403,C168,$D$2:$D$403)</f>
        <v>0.000750451355737527</v>
      </c>
      <c r="F168" s="5">
        <f t="shared" si="4"/>
        <v>0.000384777302680473</v>
      </c>
      <c r="G168" s="18">
        <f t="shared" si="5"/>
        <v>1.33717513079174e-7</v>
      </c>
    </row>
    <row r="169" spans="1:7">
      <c r="A169" s="16" t="s">
        <v>282</v>
      </c>
      <c r="B169" s="16">
        <v>3350224</v>
      </c>
      <c r="C169" s="11" t="s">
        <v>9</v>
      </c>
      <c r="D169" s="5">
        <f>B169/SUM($B$2:$B$403)</f>
        <v>0.0108954997218874</v>
      </c>
      <c r="E169" s="5">
        <f>SUMIF($C$2:$C$403,C169,$D$2:$D$403)</f>
        <v>0.0112711644427761</v>
      </c>
      <c r="F169" s="5">
        <f t="shared" si="4"/>
        <v>0.000375664720888709</v>
      </c>
      <c r="G169" s="18">
        <f t="shared" si="5"/>
        <v>0.000118711914189648</v>
      </c>
    </row>
    <row r="170" spans="1:7">
      <c r="A170" s="16" t="s">
        <v>283</v>
      </c>
      <c r="B170" s="16">
        <v>118314</v>
      </c>
      <c r="C170" s="11" t="s">
        <v>281</v>
      </c>
      <c r="D170" s="5">
        <f>B170/SUM($B$2:$B$403)</f>
        <v>0.000384777302680473</v>
      </c>
      <c r="E170" s="5">
        <f>SUMIF($C$2:$C$403,C170,$D$2:$D$403)</f>
        <v>0.000750451355737527</v>
      </c>
      <c r="F170" s="5">
        <f t="shared" si="4"/>
        <v>0.000365674053057055</v>
      </c>
      <c r="G170" s="18">
        <f t="shared" si="5"/>
        <v>1.4805357265806e-7</v>
      </c>
    </row>
    <row r="171" spans="1:7">
      <c r="A171" s="16" t="s">
        <v>284</v>
      </c>
      <c r="B171" s="16">
        <v>339630</v>
      </c>
      <c r="C171" s="11" t="s">
        <v>166</v>
      </c>
      <c r="D171" s="5">
        <f>B171/SUM($B$2:$B$403)</f>
        <v>0.00110453467306801</v>
      </c>
      <c r="E171" s="5">
        <f>SUMIF($C$2:$C$403,C171,$D$2:$D$403)</f>
        <v>0.0014677013026556</v>
      </c>
      <c r="F171" s="5">
        <f t="shared" si="4"/>
        <v>0.000363166629587587</v>
      </c>
      <c r="G171" s="18">
        <f t="shared" si="5"/>
        <v>1.21999684400946e-6</v>
      </c>
    </row>
    <row r="172" spans="1:7">
      <c r="A172" s="16" t="s">
        <v>285</v>
      </c>
      <c r="B172" s="16">
        <v>827739</v>
      </c>
      <c r="C172" s="11" t="s">
        <v>93</v>
      </c>
      <c r="D172" s="5">
        <f>B172/SUM($B$2:$B$403)</f>
        <v>0.00269194837249549</v>
      </c>
      <c r="E172" s="5">
        <f>SUMIF($C$2:$C$403,C172,$D$2:$D$403)</f>
        <v>0.00305164818831077</v>
      </c>
      <c r="F172" s="5">
        <f t="shared" si="4"/>
        <v>0.000359699815815274</v>
      </c>
      <c r="G172" s="18">
        <f t="shared" si="5"/>
        <v>7.24658604018114e-6</v>
      </c>
    </row>
    <row r="173" spans="1:7">
      <c r="A173" s="16" t="s">
        <v>286</v>
      </c>
      <c r="B173" s="16">
        <v>84583</v>
      </c>
      <c r="C173" s="11" t="s">
        <v>287</v>
      </c>
      <c r="D173" s="5">
        <f>B173/SUM($B$2:$B$403)</f>
        <v>0.000275078338933875</v>
      </c>
      <c r="E173" s="5">
        <f>SUMIF($C$2:$C$403,C173,$D$2:$D$403)</f>
        <v>0.000624764721723867</v>
      </c>
      <c r="F173" s="5">
        <f t="shared" si="4"/>
        <v>0.000349686382789992</v>
      </c>
      <c r="G173" s="18">
        <f t="shared" si="5"/>
        <v>7.56680925506195e-8</v>
      </c>
    </row>
    <row r="174" spans="1:7">
      <c r="A174" s="16" t="s">
        <v>288</v>
      </c>
      <c r="B174" s="16">
        <v>207528</v>
      </c>
      <c r="C174" s="11" t="s">
        <v>244</v>
      </c>
      <c r="D174" s="5">
        <f>B174/SUM($B$2:$B$403)</f>
        <v>0.000674916443283746</v>
      </c>
      <c r="E174" s="5">
        <f>SUMIF($C$2:$C$403,C174,$D$2:$D$403)</f>
        <v>0.00102020914370376</v>
      </c>
      <c r="F174" s="5">
        <f t="shared" si="4"/>
        <v>0.000345292700420016</v>
      </c>
      <c r="G174" s="18">
        <f t="shared" si="5"/>
        <v>4.55512205414782e-7</v>
      </c>
    </row>
    <row r="175" spans="1:7">
      <c r="A175" s="16" t="s">
        <v>289</v>
      </c>
      <c r="B175" s="16">
        <v>762579</v>
      </c>
      <c r="C175" s="11" t="s">
        <v>100</v>
      </c>
      <c r="D175" s="5">
        <f>B175/SUM($B$2:$B$403)</f>
        <v>0.002480036941535</v>
      </c>
      <c r="E175" s="5">
        <f>SUMIF($C$2:$C$403,C175,$D$2:$D$403)</f>
        <v>0.00282519305079326</v>
      </c>
      <c r="F175" s="5">
        <f t="shared" si="4"/>
        <v>0.000345156109258256</v>
      </c>
      <c r="G175" s="18">
        <f t="shared" si="5"/>
        <v>6.15058323137829e-6</v>
      </c>
    </row>
    <row r="176" spans="1:7">
      <c r="A176" s="16" t="s">
        <v>290</v>
      </c>
      <c r="B176" s="16">
        <v>129246</v>
      </c>
      <c r="C176" s="11" t="s">
        <v>232</v>
      </c>
      <c r="D176" s="5">
        <f>B176/SUM($B$2:$B$403)</f>
        <v>0.000420330030784526</v>
      </c>
      <c r="E176" s="5">
        <f>SUMIF($C$2:$C$403,C176,$D$2:$D$403)</f>
        <v>0.000763668176723154</v>
      </c>
      <c r="F176" s="5">
        <f t="shared" si="4"/>
        <v>0.000343338145938628</v>
      </c>
      <c r="G176" s="18">
        <f t="shared" si="5"/>
        <v>1.7667733477932e-7</v>
      </c>
    </row>
    <row r="177" spans="1:7">
      <c r="A177" s="16" t="s">
        <v>291</v>
      </c>
      <c r="B177" s="16">
        <v>152749</v>
      </c>
      <c r="C177" s="11" t="s">
        <v>239</v>
      </c>
      <c r="D177" s="5">
        <f>B177/SUM($B$2:$B$403)</f>
        <v>0.000496765794471825</v>
      </c>
      <c r="E177" s="5">
        <f>SUMIF($C$2:$C$403,C177,$D$2:$D$403)</f>
        <v>0.000838253455385645</v>
      </c>
      <c r="F177" s="5">
        <f t="shared" si="4"/>
        <v>0.00034148766091382</v>
      </c>
      <c r="G177" s="18">
        <f t="shared" si="5"/>
        <v>2.46776254557224e-7</v>
      </c>
    </row>
    <row r="178" spans="1:7">
      <c r="A178" s="16" t="s">
        <v>292</v>
      </c>
      <c r="B178" s="16">
        <v>2009066</v>
      </c>
      <c r="C178" s="11" t="s">
        <v>26</v>
      </c>
      <c r="D178" s="5">
        <f>B178/SUM($B$2:$B$403)</f>
        <v>0.00653382521415088</v>
      </c>
      <c r="E178" s="5">
        <f>SUMIF($C$2:$C$403,C178,$D$2:$D$403)</f>
        <v>0.00687055169742617</v>
      </c>
      <c r="F178" s="5">
        <f t="shared" si="4"/>
        <v>0.000336726483275297</v>
      </c>
      <c r="G178" s="18">
        <f t="shared" si="5"/>
        <v>4.26908719290737e-5</v>
      </c>
    </row>
    <row r="179" spans="1:7">
      <c r="A179" s="16" t="s">
        <v>293</v>
      </c>
      <c r="B179" s="16">
        <v>720217</v>
      </c>
      <c r="C179" s="11" t="s">
        <v>107</v>
      </c>
      <c r="D179" s="5">
        <f>B179/SUM($B$2:$B$403)</f>
        <v>0.00234226849404654</v>
      </c>
      <c r="E179" s="5">
        <f>SUMIF($C$2:$C$403,C179,$D$2:$D$403)</f>
        <v>0.00267630543230335</v>
      </c>
      <c r="F179" s="5">
        <f t="shared" si="4"/>
        <v>0.000334036938256814</v>
      </c>
      <c r="G179" s="18">
        <f t="shared" si="5"/>
        <v>5.48622169820304e-6</v>
      </c>
    </row>
    <row r="180" spans="1:7">
      <c r="A180" s="16" t="s">
        <v>294</v>
      </c>
      <c r="B180" s="16">
        <v>792017</v>
      </c>
      <c r="C180" s="11" t="s">
        <v>87</v>
      </c>
      <c r="D180" s="5">
        <f>B180/SUM($B$2:$B$403)</f>
        <v>0.00257577433724732</v>
      </c>
      <c r="E180" s="5">
        <f>SUMIF($C$2:$C$403,C180,$D$2:$D$403)</f>
        <v>0.00290165157967418</v>
      </c>
      <c r="F180" s="5">
        <f t="shared" si="4"/>
        <v>0.000325877242426859</v>
      </c>
      <c r="G180" s="18">
        <f t="shared" si="5"/>
        <v>6.6346134364219e-6</v>
      </c>
    </row>
    <row r="181" spans="1:7">
      <c r="A181" s="16" t="s">
        <v>295</v>
      </c>
      <c r="B181" s="16">
        <v>727548</v>
      </c>
      <c r="C181" s="11" t="s">
        <v>105</v>
      </c>
      <c r="D181" s="5">
        <f>B181/SUM($B$2:$B$403)</f>
        <v>0.00236611015611485</v>
      </c>
      <c r="E181" s="5">
        <f>SUMIF($C$2:$C$403,C181,$D$2:$D$403)</f>
        <v>0.00268962307057504</v>
      </c>
      <c r="F181" s="5">
        <f t="shared" si="4"/>
        <v>0.000323512914460188</v>
      </c>
      <c r="G181" s="18">
        <f t="shared" si="5"/>
        <v>5.59847727086985e-6</v>
      </c>
    </row>
    <row r="182" spans="1:7">
      <c r="A182" s="16" t="s">
        <v>296</v>
      </c>
      <c r="B182" s="16">
        <v>524889</v>
      </c>
      <c r="C182" s="11" t="s">
        <v>151</v>
      </c>
      <c r="D182" s="5">
        <f>B182/SUM($B$2:$B$403)</f>
        <v>0.00170702853108382</v>
      </c>
      <c r="E182" s="5">
        <f>SUMIF($C$2:$C$403,C182,$D$2:$D$403)</f>
        <v>0.00201772138936159</v>
      </c>
      <c r="F182" s="5">
        <f t="shared" si="4"/>
        <v>0.000310692858277772</v>
      </c>
      <c r="G182" s="18">
        <f t="shared" si="5"/>
        <v>2.91394640593417e-6</v>
      </c>
    </row>
    <row r="183" spans="1:7">
      <c r="A183" s="16" t="s">
        <v>297</v>
      </c>
      <c r="B183" s="16">
        <v>1678430</v>
      </c>
      <c r="C183" s="11" t="s">
        <v>38</v>
      </c>
      <c r="D183" s="5">
        <f>B183/SUM($B$2:$B$403)</f>
        <v>0.0054585405627228</v>
      </c>
      <c r="E183" s="5">
        <f>SUMIF($C$2:$C$403,C183,$D$2:$D$403)</f>
        <v>0.00576314210562014</v>
      </c>
      <c r="F183" s="5">
        <f t="shared" si="4"/>
        <v>0.000304601542897339</v>
      </c>
      <c r="G183" s="18">
        <f t="shared" si="5"/>
        <v>2.97956650748902e-5</v>
      </c>
    </row>
    <row r="184" spans="1:7">
      <c r="A184" s="16" t="s">
        <v>298</v>
      </c>
      <c r="B184" s="16">
        <v>87069</v>
      </c>
      <c r="C184" s="11" t="s">
        <v>299</v>
      </c>
      <c r="D184" s="5">
        <f>B184/SUM($B$2:$B$403)</f>
        <v>0.000283163234841913</v>
      </c>
      <c r="E184" s="5">
        <f>SUMIF($C$2:$C$403,C184,$D$2:$D$403)</f>
        <v>0.000578278196337905</v>
      </c>
      <c r="F184" s="5">
        <f t="shared" si="4"/>
        <v>0.000295114961495992</v>
      </c>
      <c r="G184" s="18">
        <f t="shared" si="5"/>
        <v>8.01814175661363e-8</v>
      </c>
    </row>
    <row r="185" spans="1:7">
      <c r="A185" s="16" t="s">
        <v>300</v>
      </c>
      <c r="B185" s="16">
        <v>90744</v>
      </c>
      <c r="C185" s="11" t="s">
        <v>299</v>
      </c>
      <c r="D185" s="5">
        <f>B185/SUM($B$2:$B$403)</f>
        <v>0.000295114961495992</v>
      </c>
      <c r="E185" s="5">
        <f>SUMIF($C$2:$C$403,C185,$D$2:$D$403)</f>
        <v>0.000578278196337905</v>
      </c>
      <c r="F185" s="5">
        <f t="shared" si="4"/>
        <v>0.000283163234841913</v>
      </c>
      <c r="G185" s="18">
        <f t="shared" si="5"/>
        <v>8.7092840498781e-8</v>
      </c>
    </row>
    <row r="186" spans="1:7">
      <c r="A186" s="16" t="s">
        <v>301</v>
      </c>
      <c r="B186" s="16">
        <v>1181983</v>
      </c>
      <c r="C186" s="11" t="s">
        <v>59</v>
      </c>
      <c r="D186" s="5">
        <f>B186/SUM($B$2:$B$403)</f>
        <v>0.00384401026551527</v>
      </c>
      <c r="E186" s="5">
        <f>SUMIF($C$2:$C$403,C186,$D$2:$D$403)</f>
        <v>0.00412093258513291</v>
      </c>
      <c r="F186" s="5">
        <f t="shared" si="4"/>
        <v>0.000276922319617647</v>
      </c>
      <c r="G186" s="18">
        <f t="shared" si="5"/>
        <v>1.47764149213868e-5</v>
      </c>
    </row>
    <row r="187" spans="1:7">
      <c r="A187" s="16" t="s">
        <v>302</v>
      </c>
      <c r="B187" s="16">
        <v>962435</v>
      </c>
      <c r="C187" s="11" t="s">
        <v>79</v>
      </c>
      <c r="D187" s="5">
        <f>B187/SUM($B$2:$B$403)</f>
        <v>0.00313000273260376</v>
      </c>
      <c r="E187" s="5">
        <f>SUMIF($C$2:$C$403,C187,$D$2:$D$403)</f>
        <v>0.00340620307036638</v>
      </c>
      <c r="F187" s="5">
        <f t="shared" si="4"/>
        <v>0.000276200337762625</v>
      </c>
      <c r="G187" s="18">
        <f t="shared" si="5"/>
        <v>9.79691710610698e-6</v>
      </c>
    </row>
    <row r="188" spans="1:7">
      <c r="A188" s="16" t="s">
        <v>303</v>
      </c>
      <c r="B188" s="16">
        <v>107524</v>
      </c>
      <c r="C188" s="11" t="s">
        <v>287</v>
      </c>
      <c r="D188" s="5">
        <f>B188/SUM($B$2:$B$403)</f>
        <v>0.000349686382789992</v>
      </c>
      <c r="E188" s="5">
        <f>SUMIF($C$2:$C$403,C188,$D$2:$D$403)</f>
        <v>0.000624764721723867</v>
      </c>
      <c r="F188" s="5">
        <f t="shared" si="4"/>
        <v>0.000275078338933875</v>
      </c>
      <c r="G188" s="18">
        <f t="shared" si="5"/>
        <v>1.22280566308749e-7</v>
      </c>
    </row>
    <row r="189" spans="1:7">
      <c r="A189" s="16" t="s">
        <v>304</v>
      </c>
      <c r="B189" s="16">
        <v>737451</v>
      </c>
      <c r="C189" s="11" t="s">
        <v>103</v>
      </c>
      <c r="D189" s="5">
        <f>B189/SUM($B$2:$B$403)</f>
        <v>0.00239831640075576</v>
      </c>
      <c r="E189" s="5">
        <f>SUMIF($C$2:$C$403,C189,$D$2:$D$403)</f>
        <v>0.00266596027788522</v>
      </c>
      <c r="F189" s="5">
        <f t="shared" si="4"/>
        <v>0.000267643877129459</v>
      </c>
      <c r="G189" s="18">
        <f t="shared" si="5"/>
        <v>5.75192155813408e-6</v>
      </c>
    </row>
    <row r="190" spans="1:7">
      <c r="A190" s="16" t="s">
        <v>305</v>
      </c>
      <c r="B190" s="16">
        <v>302111</v>
      </c>
      <c r="C190" s="11" t="s">
        <v>205</v>
      </c>
      <c r="D190" s="5">
        <f>B190/SUM($B$2:$B$403)</f>
        <v>0.000982516487398789</v>
      </c>
      <c r="E190" s="5">
        <f>SUMIF($C$2:$C$403,C190,$D$2:$D$403)</f>
        <v>0.00122469586937139</v>
      </c>
      <c r="F190" s="5">
        <f t="shared" si="4"/>
        <v>0.000242179381972605</v>
      </c>
      <c r="G190" s="18">
        <f t="shared" si="5"/>
        <v>9.65338648010455e-7</v>
      </c>
    </row>
    <row r="191" spans="1:7">
      <c r="A191" s="16" t="s">
        <v>306</v>
      </c>
      <c r="B191" s="16">
        <v>309022</v>
      </c>
      <c r="C191" s="11" t="s">
        <v>185</v>
      </c>
      <c r="D191" s="5">
        <f>B191/SUM($B$2:$B$403)</f>
        <v>0.00100499223784949</v>
      </c>
      <c r="E191" s="5">
        <f>SUMIF($C$2:$C$403,C191,$D$2:$D$403)</f>
        <v>0.00124585449076226</v>
      </c>
      <c r="F191" s="5">
        <f t="shared" si="4"/>
        <v>0.000240862252912767</v>
      </c>
      <c r="G191" s="18">
        <f t="shared" si="5"/>
        <v>1.01000939813773e-6</v>
      </c>
    </row>
    <row r="192" spans="1:7">
      <c r="A192" s="16" t="s">
        <v>307</v>
      </c>
      <c r="B192" s="16">
        <v>281042</v>
      </c>
      <c r="C192" s="11" t="s">
        <v>214</v>
      </c>
      <c r="D192" s="5">
        <f>B192/SUM($B$2:$B$403)</f>
        <v>0.000913996506752586</v>
      </c>
      <c r="E192" s="5">
        <f>SUMIF($C$2:$C$403,C192,$D$2:$D$403)</f>
        <v>0.00114271840712122</v>
      </c>
      <c r="F192" s="5">
        <f t="shared" si="4"/>
        <v>0.000228721900368637</v>
      </c>
      <c r="G192" s="18">
        <f t="shared" si="5"/>
        <v>8.35389614355929e-7</v>
      </c>
    </row>
    <row r="193" spans="1:7">
      <c r="A193" s="16" t="s">
        <v>308</v>
      </c>
      <c r="B193" s="16">
        <v>357292</v>
      </c>
      <c r="C193" s="11" t="s">
        <v>187</v>
      </c>
      <c r="D193" s="5">
        <f>B193/SUM($B$2:$B$403)</f>
        <v>0.00116197450875899</v>
      </c>
      <c r="E193" s="5">
        <f>SUMIF($C$2:$C$403,C193,$D$2:$D$403)</f>
        <v>0.00138631573543973</v>
      </c>
      <c r="F193" s="5">
        <f t="shared" si="4"/>
        <v>0.000224341226680734</v>
      </c>
      <c r="G193" s="18">
        <f t="shared" si="5"/>
        <v>1.3501847590057e-6</v>
      </c>
    </row>
    <row r="194" spans="1:7">
      <c r="A194" s="16" t="s">
        <v>309</v>
      </c>
      <c r="B194" s="16">
        <v>37172</v>
      </c>
      <c r="C194" s="11" t="s">
        <v>310</v>
      </c>
      <c r="D194" s="5">
        <f>B194/SUM($B$2:$B$403)</f>
        <v>0.000120889682499438</v>
      </c>
      <c r="E194" s="5">
        <f>SUMIF($C$2:$C$403,C194,$D$2:$D$403)</f>
        <v>0.000344752840114009</v>
      </c>
      <c r="F194" s="5">
        <f t="shared" ref="F194:F257" si="6">E194-D194</f>
        <v>0.000223863157614571</v>
      </c>
      <c r="G194" s="18">
        <f t="shared" si="5"/>
        <v>1.4614315334815e-8</v>
      </c>
    </row>
    <row r="195" spans="1:7">
      <c r="A195" s="16" t="s">
        <v>311</v>
      </c>
      <c r="B195" s="16">
        <v>20341</v>
      </c>
      <c r="C195" s="11" t="s">
        <v>312</v>
      </c>
      <c r="D195" s="5">
        <f>B195/SUM($B$2:$B$403)</f>
        <v>6.61524005090141e-5</v>
      </c>
      <c r="E195" s="5">
        <f>SUMIF($C$2:$C$403,C195,$D$2:$D$403)</f>
        <v>0.000275156391026309</v>
      </c>
      <c r="F195" s="5">
        <f t="shared" si="6"/>
        <v>0.000209003990517295</v>
      </c>
      <c r="G195" s="18">
        <f t="shared" ref="G195:G258" si="7">D195*D195</f>
        <v>4.37614009310501e-9</v>
      </c>
    </row>
    <row r="196" spans="1:7">
      <c r="A196" s="16" t="s">
        <v>313</v>
      </c>
      <c r="B196" s="16">
        <v>245341</v>
      </c>
      <c r="C196" s="11" t="s">
        <v>224</v>
      </c>
      <c r="D196" s="5">
        <f>B196/SUM($B$2:$B$403)</f>
        <v>0.000797890767085297</v>
      </c>
      <c r="E196" s="5">
        <f>SUMIF($C$2:$C$403,C196,$D$2:$D$403)</f>
        <v>0.00100584755869576</v>
      </c>
      <c r="F196" s="5">
        <f t="shared" si="6"/>
        <v>0.000207956791610461</v>
      </c>
      <c r="G196" s="18">
        <f t="shared" si="7"/>
        <v>6.36629676199964e-7</v>
      </c>
    </row>
    <row r="197" spans="1:7">
      <c r="A197" s="16" t="s">
        <v>314</v>
      </c>
      <c r="B197" s="16">
        <v>505207</v>
      </c>
      <c r="C197" s="11" t="s">
        <v>154</v>
      </c>
      <c r="D197" s="5">
        <f>B197/SUM($B$2:$B$403)</f>
        <v>0.00164301931094624</v>
      </c>
      <c r="E197" s="5">
        <f>SUMIF($C$2:$C$403,C197,$D$2:$D$403)</f>
        <v>0.0018508492679065</v>
      </c>
      <c r="F197" s="5">
        <f t="shared" si="6"/>
        <v>0.000207829956960255</v>
      </c>
      <c r="G197" s="18">
        <f t="shared" si="7"/>
        <v>2.69951245614226e-6</v>
      </c>
    </row>
    <row r="198" spans="1:7">
      <c r="A198" s="16" t="s">
        <v>315</v>
      </c>
      <c r="B198" s="16">
        <v>407974</v>
      </c>
      <c r="C198" s="11" t="s">
        <v>164</v>
      </c>
      <c r="D198" s="5">
        <f>B198/SUM($B$2:$B$403)</f>
        <v>0.00132680101495819</v>
      </c>
      <c r="E198" s="5">
        <f>SUMIF($C$2:$C$403,C198,$D$2:$D$403)</f>
        <v>0.00152942424691894</v>
      </c>
      <c r="F198" s="5">
        <f t="shared" si="6"/>
        <v>0.00020262323196075</v>
      </c>
      <c r="G198" s="18">
        <f t="shared" si="7"/>
        <v>1.76040093329408e-6</v>
      </c>
    </row>
    <row r="199" spans="1:7">
      <c r="A199" s="16" t="s">
        <v>316</v>
      </c>
      <c r="B199" s="16">
        <v>19284</v>
      </c>
      <c r="C199" s="11" t="s">
        <v>317</v>
      </c>
      <c r="D199" s="5">
        <f>B199/SUM($B$2:$B$403)</f>
        <v>6.27148562713646e-5</v>
      </c>
      <c r="E199" s="5">
        <f>SUMIF($C$2:$C$403,C199,$D$2:$D$403)</f>
        <v>0.000260739519119497</v>
      </c>
      <c r="F199" s="5">
        <f t="shared" si="6"/>
        <v>0.000198024662848133</v>
      </c>
      <c r="G199" s="18">
        <f t="shared" si="7"/>
        <v>3.93315319713792e-9</v>
      </c>
    </row>
    <row r="200" spans="1:7">
      <c r="A200" s="16" t="s">
        <v>318</v>
      </c>
      <c r="B200" s="16">
        <v>2125717</v>
      </c>
      <c r="C200" s="11" t="s">
        <v>17</v>
      </c>
      <c r="D200" s="5">
        <f>B200/SUM($B$2:$B$403)</f>
        <v>0.00691319415725972</v>
      </c>
      <c r="E200" s="5">
        <f>SUMIF($C$2:$C$403,C200,$D$2:$D$403)</f>
        <v>0.007110617168562</v>
      </c>
      <c r="F200" s="5">
        <f t="shared" si="6"/>
        <v>0.000197423011302282</v>
      </c>
      <c r="G200" s="18">
        <f t="shared" si="7"/>
        <v>4.77922534559699e-5</v>
      </c>
    </row>
    <row r="201" spans="1:7">
      <c r="A201" s="16" t="s">
        <v>319</v>
      </c>
      <c r="B201" s="16">
        <v>634386</v>
      </c>
      <c r="C201" s="11" t="s">
        <v>118</v>
      </c>
      <c r="D201" s="5">
        <f>B201/SUM($B$2:$B$403)</f>
        <v>0.00206313144630605</v>
      </c>
      <c r="E201" s="5">
        <f>SUMIF($C$2:$C$403,C201,$D$2:$D$403)</f>
        <v>0.00225879178118752</v>
      </c>
      <c r="F201" s="5">
        <f t="shared" si="6"/>
        <v>0.000195660334881462</v>
      </c>
      <c r="G201" s="18">
        <f t="shared" si="7"/>
        <v>4.25651136473691e-6</v>
      </c>
    </row>
    <row r="202" spans="1:7">
      <c r="A202" s="16" t="s">
        <v>320</v>
      </c>
      <c r="B202" s="16">
        <v>858033</v>
      </c>
      <c r="C202" s="11" t="s">
        <v>91</v>
      </c>
      <c r="D202" s="5">
        <f>B202/SUM($B$2:$B$403)</f>
        <v>0.00279046962617132</v>
      </c>
      <c r="E202" s="5">
        <f>SUMIF($C$2:$C$403,C202,$D$2:$D$403)</f>
        <v>0.00296320541107058</v>
      </c>
      <c r="F202" s="5">
        <f t="shared" si="6"/>
        <v>0.000172735784899257</v>
      </c>
      <c r="G202" s="18">
        <f t="shared" si="7"/>
        <v>7.78672073458473e-6</v>
      </c>
    </row>
    <row r="203" spans="1:7">
      <c r="A203" s="16" t="s">
        <v>321</v>
      </c>
      <c r="B203" s="16">
        <v>442737</v>
      </c>
      <c r="C203" s="11" t="s">
        <v>169</v>
      </c>
      <c r="D203" s="5">
        <f>B203/SUM($B$2:$B$403)</f>
        <v>0.00143985621867948</v>
      </c>
      <c r="E203" s="5">
        <f>SUMIF($C$2:$C$403,C203,$D$2:$D$403)</f>
        <v>0.00160508599402293</v>
      </c>
      <c r="F203" s="5">
        <f t="shared" si="6"/>
        <v>0.000165229775343443</v>
      </c>
      <c r="G203" s="18">
        <f t="shared" si="7"/>
        <v>2.07318593046998e-6</v>
      </c>
    </row>
    <row r="204" spans="1:7">
      <c r="A204" s="16" t="s">
        <v>322</v>
      </c>
      <c r="B204" s="16">
        <v>1376343</v>
      </c>
      <c r="C204" s="11" t="s">
        <v>53</v>
      </c>
      <c r="D204" s="5">
        <f>B204/SUM($B$2:$B$403)</f>
        <v>0.00447610212741645</v>
      </c>
      <c r="E204" s="5">
        <f>SUMIF($C$2:$C$403,C204,$D$2:$D$403)</f>
        <v>0.00462973141052177</v>
      </c>
      <c r="F204" s="5">
        <f t="shared" si="6"/>
        <v>0.00015362928310532</v>
      </c>
      <c r="G204" s="18">
        <f t="shared" si="7"/>
        <v>2.00354902550621e-5</v>
      </c>
    </row>
    <row r="205" spans="1:7">
      <c r="A205" s="16" t="s">
        <v>323</v>
      </c>
      <c r="B205" s="16">
        <v>688426</v>
      </c>
      <c r="C205" s="11" t="s">
        <v>116</v>
      </c>
      <c r="D205" s="5">
        <f>B205/SUM($B$2:$B$403)</f>
        <v>0.00223887874110509</v>
      </c>
      <c r="E205" s="5">
        <f>SUMIF($C$2:$C$403,C205,$D$2:$D$403)</f>
        <v>0.0023867451780523</v>
      </c>
      <c r="F205" s="5">
        <f t="shared" si="6"/>
        <v>0.000147866436947217</v>
      </c>
      <c r="G205" s="18">
        <f t="shared" si="7"/>
        <v>5.01257801737229e-6</v>
      </c>
    </row>
    <row r="206" spans="1:7">
      <c r="A206" s="16" t="s">
        <v>324</v>
      </c>
      <c r="B206" s="16">
        <v>792760</v>
      </c>
      <c r="C206" s="11" t="s">
        <v>96</v>
      </c>
      <c r="D206" s="5">
        <f>B206/SUM($B$2:$B$403)</f>
        <v>0.00257819069994229</v>
      </c>
      <c r="E206" s="5">
        <f>SUMIF($C$2:$C$403,C206,$D$2:$D$403)</f>
        <v>0.00272313993993475</v>
      </c>
      <c r="F206" s="5">
        <f t="shared" si="6"/>
        <v>0.000144949239992467</v>
      </c>
      <c r="G206" s="18">
        <f t="shared" si="7"/>
        <v>6.64706728526889e-6</v>
      </c>
    </row>
    <row r="207" spans="1:7">
      <c r="A207" s="16" t="s">
        <v>325</v>
      </c>
      <c r="B207" s="16">
        <v>248134</v>
      </c>
      <c r="C207" s="11" t="s">
        <v>219</v>
      </c>
      <c r="D207" s="5">
        <f>B207/SUM($B$2:$B$403)</f>
        <v>0.000806974079342398</v>
      </c>
      <c r="E207" s="5">
        <f>SUMIF($C$2:$C$403,C207,$D$2:$D$403)</f>
        <v>0.000949224017804827</v>
      </c>
      <c r="F207" s="5">
        <f t="shared" si="6"/>
        <v>0.00014224993846243</v>
      </c>
      <c r="G207" s="18">
        <f t="shared" si="7"/>
        <v>6.5120716473051e-7</v>
      </c>
    </row>
    <row r="208" spans="1:7">
      <c r="A208" s="16" t="s">
        <v>326</v>
      </c>
      <c r="B208" s="16">
        <v>1024574</v>
      </c>
      <c r="C208" s="11" t="s">
        <v>68</v>
      </c>
      <c r="D208" s="5">
        <f>B208/SUM($B$2:$B$403)</f>
        <v>0.00333208935642902</v>
      </c>
      <c r="E208" s="5">
        <f>SUMIF($C$2:$C$403,C208,$D$2:$D$403)</f>
        <v>0.00345561329704813</v>
      </c>
      <c r="F208" s="5">
        <f t="shared" si="6"/>
        <v>0.000123523940619113</v>
      </c>
      <c r="G208" s="18">
        <f t="shared" si="7"/>
        <v>1.11028194792275e-5</v>
      </c>
    </row>
    <row r="209" spans="1:7">
      <c r="A209" s="16" t="s">
        <v>327</v>
      </c>
      <c r="B209" s="16">
        <v>68835</v>
      </c>
      <c r="C209" s="11" t="s">
        <v>310</v>
      </c>
      <c r="D209" s="5">
        <f>B209/SUM($B$2:$B$403)</f>
        <v>0.000223863157614571</v>
      </c>
      <c r="E209" s="5">
        <f>SUMIF($C$2:$C$403,C209,$D$2:$D$403)</f>
        <v>0.000344752840114009</v>
      </c>
      <c r="F209" s="5">
        <f t="shared" si="6"/>
        <v>0.000120889682499438</v>
      </c>
      <c r="G209" s="18">
        <f t="shared" si="7"/>
        <v>5.01147133371662e-8</v>
      </c>
    </row>
    <row r="210" spans="1:7">
      <c r="A210" s="16" t="s">
        <v>328</v>
      </c>
      <c r="B210" s="16">
        <v>185549</v>
      </c>
      <c r="C210" s="11" t="s">
        <v>251</v>
      </c>
      <c r="D210" s="5">
        <f>B210/SUM($B$2:$B$403)</f>
        <v>0.000603436987466057</v>
      </c>
      <c r="E210" s="5">
        <f>SUMIF($C$2:$C$403,C210,$D$2:$D$403)</f>
        <v>0.000718235354585062</v>
      </c>
      <c r="F210" s="5">
        <f t="shared" si="6"/>
        <v>0.000114798367119005</v>
      </c>
      <c r="G210" s="18">
        <f t="shared" si="7"/>
        <v>3.6413619784211e-7</v>
      </c>
    </row>
    <row r="211" spans="1:7">
      <c r="A211" s="16" t="s">
        <v>329</v>
      </c>
      <c r="B211" s="16">
        <v>212620</v>
      </c>
      <c r="C211" s="11" t="s">
        <v>242</v>
      </c>
      <c r="D211" s="5">
        <f>B211/SUM($B$2:$B$403)</f>
        <v>0.000691476495561997</v>
      </c>
      <c r="E211" s="5">
        <f>SUMIF($C$2:$C$403,C211,$D$2:$D$403)</f>
        <v>0.000801647024033722</v>
      </c>
      <c r="F211" s="5">
        <f t="shared" si="6"/>
        <v>0.000110170528471725</v>
      </c>
      <c r="G211" s="18">
        <f t="shared" si="7"/>
        <v>4.781397439147e-7</v>
      </c>
    </row>
    <row r="212" spans="1:7">
      <c r="A212" s="16" t="s">
        <v>330</v>
      </c>
      <c r="B212" s="16">
        <v>201272</v>
      </c>
      <c r="C212" s="11" t="s">
        <v>246</v>
      </c>
      <c r="D212" s="5">
        <f>B212/SUM($B$2:$B$403)</f>
        <v>0.000654570864522407</v>
      </c>
      <c r="E212" s="5">
        <f>SUMIF($C$2:$C$403,C212,$D$2:$D$403)</f>
        <v>0.000753505143854039</v>
      </c>
      <c r="F212" s="5">
        <f t="shared" si="6"/>
        <v>9.89342793316316e-5</v>
      </c>
      <c r="G212" s="18">
        <f t="shared" si="7"/>
        <v>4.28463016681612e-7</v>
      </c>
    </row>
    <row r="213" spans="1:7">
      <c r="A213" s="16" t="s">
        <v>331</v>
      </c>
      <c r="B213" s="16">
        <v>1513223</v>
      </c>
      <c r="C213" s="11" t="s">
        <v>49</v>
      </c>
      <c r="D213" s="5">
        <f>B213/SUM($B$2:$B$403)</f>
        <v>0.00492125922793628</v>
      </c>
      <c r="E213" s="5">
        <f>SUMIF($C$2:$C$403,C213,$D$2:$D$403)</f>
        <v>0.00501559493815529</v>
      </c>
      <c r="F213" s="5">
        <f t="shared" si="6"/>
        <v>9.43357102190148e-5</v>
      </c>
      <c r="G213" s="18">
        <f t="shared" si="7"/>
        <v>2.4218792388548e-5</v>
      </c>
    </row>
    <row r="214" spans="1:7">
      <c r="A214" s="16" t="s">
        <v>332</v>
      </c>
      <c r="B214" s="16">
        <v>18350</v>
      </c>
      <c r="C214" s="11" t="s">
        <v>333</v>
      </c>
      <c r="D214" s="5">
        <f>B214/SUM($B$2:$B$403)</f>
        <v>5.96773290074435e-5</v>
      </c>
      <c r="E214" s="5">
        <f>SUMIF($C$2:$C$403,C214,$D$2:$D$403)</f>
        <v>0.000148663218724156</v>
      </c>
      <c r="F214" s="5">
        <f t="shared" si="6"/>
        <v>8.89858897167123e-5</v>
      </c>
      <c r="G214" s="18">
        <f t="shared" si="7"/>
        <v>3.56138359746266e-9</v>
      </c>
    </row>
    <row r="215" spans="1:7">
      <c r="A215" s="16" t="s">
        <v>334</v>
      </c>
      <c r="B215" s="16">
        <v>64266</v>
      </c>
      <c r="C215" s="11" t="s">
        <v>312</v>
      </c>
      <c r="D215" s="5">
        <f>B215/SUM($B$2:$B$403)</f>
        <v>0.000209003990517295</v>
      </c>
      <c r="E215" s="5">
        <f>SUMIF($C$2:$C$403,C215,$D$2:$D$403)</f>
        <v>0.000275156391026309</v>
      </c>
      <c r="F215" s="5">
        <f t="shared" si="6"/>
        <v>6.61524005090142e-5</v>
      </c>
      <c r="G215" s="18">
        <f t="shared" si="7"/>
        <v>4.36826680521536e-8</v>
      </c>
    </row>
    <row r="216" spans="1:7">
      <c r="A216" s="16" t="s">
        <v>335</v>
      </c>
      <c r="B216" s="16">
        <v>60890</v>
      </c>
      <c r="C216" s="11" t="s">
        <v>317</v>
      </c>
      <c r="D216" s="5">
        <f>B216/SUM($B$2:$B$403)</f>
        <v>0.000198024662848133</v>
      </c>
      <c r="E216" s="5">
        <f>SUMIF($C$2:$C$403,C216,$D$2:$D$403)</f>
        <v>0.000260739519119497</v>
      </c>
      <c r="F216" s="5">
        <f t="shared" si="6"/>
        <v>6.27148562713646e-5</v>
      </c>
      <c r="G216" s="18">
        <f t="shared" si="7"/>
        <v>3.92137670961167e-8</v>
      </c>
    </row>
    <row r="217" spans="1:7">
      <c r="A217" s="16" t="s">
        <v>336</v>
      </c>
      <c r="B217" s="16">
        <v>27362</v>
      </c>
      <c r="C217" s="11" t="s">
        <v>333</v>
      </c>
      <c r="D217" s="5">
        <f>B217/SUM($B$2:$B$403)</f>
        <v>8.89858897167123e-5</v>
      </c>
      <c r="E217" s="5">
        <f>SUMIF($C$2:$C$403,C217,$D$2:$D$403)</f>
        <v>0.000148663218724156</v>
      </c>
      <c r="F217" s="5">
        <f t="shared" si="6"/>
        <v>5.96773290074435e-5</v>
      </c>
      <c r="G217" s="18">
        <f t="shared" si="7"/>
        <v>7.91848856867488e-9</v>
      </c>
    </row>
    <row r="218" spans="1:7">
      <c r="A218" s="16" t="s">
        <v>337</v>
      </c>
      <c r="B218" s="16">
        <v>2063177</v>
      </c>
      <c r="C218" s="11" t="s">
        <v>20</v>
      </c>
      <c r="D218" s="5">
        <f>B218/SUM($B$2:$B$403)</f>
        <v>0.00670980341305669</v>
      </c>
      <c r="E218" s="5">
        <f>SUMIF($C$2:$C$403,C218,$D$2:$D$403)</f>
        <v>0.00676836849974694</v>
      </c>
      <c r="F218" s="5">
        <f t="shared" si="6"/>
        <v>5.85650866902479e-5</v>
      </c>
      <c r="G218" s="18">
        <f t="shared" si="7"/>
        <v>4.50214618418673e-5</v>
      </c>
    </row>
    <row r="219" spans="1:7">
      <c r="A219" s="16" t="s">
        <v>338</v>
      </c>
      <c r="B219" s="16">
        <v>162951</v>
      </c>
      <c r="C219" s="11" t="s">
        <v>256</v>
      </c>
      <c r="D219" s="5">
        <f>B219/SUM($B$2:$B$403)</f>
        <v>0.000529944438097653</v>
      </c>
      <c r="E219" s="5">
        <f>SUMIF($C$2:$C$403,C219,$D$2:$D$403)</f>
        <v>0.000584164624975696</v>
      </c>
      <c r="F219" s="5">
        <f t="shared" si="6"/>
        <v>5.42201868780435e-5</v>
      </c>
      <c r="G219" s="18">
        <f t="shared" si="7"/>
        <v>2.80841107470637e-7</v>
      </c>
    </row>
    <row r="220" spans="1:7">
      <c r="A220" s="16" t="s">
        <v>339</v>
      </c>
      <c r="B220" s="16">
        <v>288107</v>
      </c>
      <c r="C220" s="11" t="s">
        <v>209</v>
      </c>
      <c r="D220" s="5">
        <f>B220/SUM($B$2:$B$403)</f>
        <v>0.000936973091463081</v>
      </c>
      <c r="E220" s="5">
        <f>SUMIF($C$2:$C$403,C220,$D$2:$D$403)</f>
        <v>0.000986077614116127</v>
      </c>
      <c r="F220" s="5">
        <f t="shared" si="6"/>
        <v>4.91045226530457e-5</v>
      </c>
      <c r="G220" s="18">
        <f t="shared" si="7"/>
        <v>8.77918574125883e-7</v>
      </c>
    </row>
    <row r="221" spans="1:7">
      <c r="A221" s="16" t="s">
        <v>340</v>
      </c>
      <c r="B221" s="16">
        <v>1763259</v>
      </c>
      <c r="C221" s="11" t="s">
        <v>40</v>
      </c>
      <c r="D221" s="5">
        <f>B221/SUM($B$2:$B$403)</f>
        <v>0.00573441893560414</v>
      </c>
      <c r="E221" s="5">
        <f>SUMIF($C$2:$C$403,C221,$D$2:$D$403)</f>
        <v>0.00578255105927226</v>
      </c>
      <c r="F221" s="5">
        <f t="shared" si="6"/>
        <v>4.81321236681289e-5</v>
      </c>
      <c r="G221" s="18">
        <f t="shared" si="7"/>
        <v>3.28835605290153e-5</v>
      </c>
    </row>
    <row r="222" spans="1:7">
      <c r="A222" s="16" t="s">
        <v>341</v>
      </c>
      <c r="B222" s="16">
        <v>1165941</v>
      </c>
      <c r="C222" s="11" t="s">
        <v>61</v>
      </c>
      <c r="D222" s="5">
        <f>B222/SUM($B$2:$B$403)</f>
        <v>0.00379183894606364</v>
      </c>
      <c r="E222" s="5">
        <f>SUMIF($C$2:$C$403,C222,$D$2:$D$403)</f>
        <v>0.00383717420308618</v>
      </c>
      <c r="F222" s="5">
        <f t="shared" si="6"/>
        <v>4.53352570225483e-5</v>
      </c>
      <c r="G222" s="18">
        <f t="shared" si="7"/>
        <v>1.4378042592885e-5</v>
      </c>
    </row>
    <row r="223" spans="1:7">
      <c r="A223" s="16" t="s">
        <v>342</v>
      </c>
      <c r="B223" s="16">
        <v>528172</v>
      </c>
      <c r="C223" s="11" t="s">
        <v>147</v>
      </c>
      <c r="D223" s="5">
        <f>B223/SUM($B$2:$B$403)</f>
        <v>0.00171770540689479</v>
      </c>
      <c r="E223" s="5">
        <f>SUMIF($C$2:$C$403,C223,$D$2:$D$403)</f>
        <v>0.00176177882175631</v>
      </c>
      <c r="F223" s="5">
        <f t="shared" si="6"/>
        <v>4.4073414861519e-5</v>
      </c>
      <c r="G223" s="18">
        <f t="shared" si="7"/>
        <v>2.95051186487561e-6</v>
      </c>
    </row>
    <row r="224" spans="1:7">
      <c r="A224" s="16" t="s">
        <v>343</v>
      </c>
      <c r="B224" s="16">
        <v>6219</v>
      </c>
      <c r="C224" s="11" t="s">
        <v>344</v>
      </c>
      <c r="D224" s="5">
        <f>B224/SUM($B$2:$B$403)</f>
        <v>2.02252484521685e-5</v>
      </c>
      <c r="E224" s="5">
        <f>SUMIF($C$2:$C$403,C224,$D$2:$D$403)</f>
        <v>5.78366004941894e-5</v>
      </c>
      <c r="F224" s="5">
        <f t="shared" si="6"/>
        <v>3.7611352042021e-5</v>
      </c>
      <c r="G224" s="18">
        <f t="shared" si="7"/>
        <v>4.09060674951943e-10</v>
      </c>
    </row>
    <row r="225" spans="1:7">
      <c r="A225" s="16" t="s">
        <v>345</v>
      </c>
      <c r="B225" s="16">
        <v>1049687</v>
      </c>
      <c r="C225" s="11" t="s">
        <v>71</v>
      </c>
      <c r="D225" s="5">
        <f>B225/SUM($B$2:$B$403)</f>
        <v>0.00341376111465048</v>
      </c>
      <c r="E225" s="5">
        <f>SUMIF($C$2:$C$403,C225,$D$2:$D$403)</f>
        <v>0.00344234118916369</v>
      </c>
      <c r="F225" s="5">
        <f t="shared" si="6"/>
        <v>2.85800745132105e-5</v>
      </c>
      <c r="G225" s="18">
        <f t="shared" si="7"/>
        <v>1.16537649478997e-5</v>
      </c>
    </row>
    <row r="226" spans="1:7">
      <c r="A226" s="16" t="s">
        <v>346</v>
      </c>
      <c r="B226" s="16">
        <v>609053</v>
      </c>
      <c r="C226" s="11" t="s">
        <v>133</v>
      </c>
      <c r="D226" s="5">
        <f>B226/SUM($B$2:$B$403)</f>
        <v>0.0019807442105706</v>
      </c>
      <c r="E226" s="5">
        <f>SUMIF($C$2:$C$403,C226,$D$2:$D$403)</f>
        <v>0.0020035776997783</v>
      </c>
      <c r="F226" s="5">
        <f t="shared" si="6"/>
        <v>2.28334892076981e-5</v>
      </c>
      <c r="G226" s="18">
        <f t="shared" si="7"/>
        <v>3.92334762770895e-6</v>
      </c>
    </row>
    <row r="227" spans="1:7">
      <c r="A227" s="16" t="s">
        <v>347</v>
      </c>
      <c r="B227" s="16">
        <v>11565</v>
      </c>
      <c r="C227" s="11" t="s">
        <v>344</v>
      </c>
      <c r="D227" s="5">
        <f>B227/SUM($B$2:$B$403)</f>
        <v>3.7611352042021e-5</v>
      </c>
      <c r="E227" s="5">
        <f>SUMIF($C$2:$C$403,C227,$D$2:$D$403)</f>
        <v>5.78366004941894e-5</v>
      </c>
      <c r="F227" s="5">
        <f t="shared" si="6"/>
        <v>2.02252484521685e-5</v>
      </c>
      <c r="G227" s="18">
        <f t="shared" si="7"/>
        <v>1.41461380242883e-9</v>
      </c>
    </row>
    <row r="228" spans="1:7">
      <c r="A228" s="16" t="s">
        <v>348</v>
      </c>
      <c r="B228" s="16">
        <v>414959</v>
      </c>
      <c r="C228" s="11" t="s">
        <v>179</v>
      </c>
      <c r="D228" s="5">
        <f>B228/SUM($B$2:$B$403)</f>
        <v>0.00134951742602724</v>
      </c>
      <c r="E228" s="5">
        <f>SUMIF($C$2:$C$403,C228,$D$2:$D$403)</f>
        <v>0.00136766778968885</v>
      </c>
      <c r="F228" s="5">
        <f t="shared" si="6"/>
        <v>1.81503636616099e-5</v>
      </c>
      <c r="G228" s="18">
        <f t="shared" si="7"/>
        <v>1.82119728315117e-6</v>
      </c>
    </row>
    <row r="229" spans="1:7">
      <c r="A229" s="16" t="s">
        <v>349</v>
      </c>
      <c r="B229" s="16">
        <v>1958432</v>
      </c>
      <c r="C229" s="11" t="s">
        <v>29</v>
      </c>
      <c r="D229" s="5">
        <f>B229/SUM($B$2:$B$403)</f>
        <v>0.00636915481213655</v>
      </c>
      <c r="E229" s="5">
        <f>SUMIF($C$2:$C$403,C229,$D$2:$D$403)</f>
        <v>0.00638198787700104</v>
      </c>
      <c r="F229" s="5">
        <f t="shared" si="6"/>
        <v>1.28330648644891e-5</v>
      </c>
      <c r="G229" s="18">
        <f t="shared" si="7"/>
        <v>4.05661330209622e-5</v>
      </c>
    </row>
    <row r="230" spans="1:7">
      <c r="A230" s="16" t="s">
        <v>350</v>
      </c>
      <c r="B230" s="16">
        <v>151254</v>
      </c>
      <c r="C230" s="11" t="s">
        <v>266</v>
      </c>
      <c r="D230" s="5">
        <f>B230/SUM($B$2:$B$403)</f>
        <v>0.000491903799547241</v>
      </c>
      <c r="E230" s="5">
        <f>SUMIF($C$2:$C$403,C230,$D$2:$D$403)</f>
        <v>0.000501848936991642</v>
      </c>
      <c r="F230" s="5">
        <f t="shared" si="6"/>
        <v>9.94513744440127e-6</v>
      </c>
      <c r="G230" s="18">
        <f t="shared" si="7"/>
        <v>2.41969348009012e-7</v>
      </c>
    </row>
    <row r="231" spans="1:7">
      <c r="A231" s="16" t="s">
        <v>351</v>
      </c>
      <c r="B231" s="16">
        <v>172918</v>
      </c>
      <c r="C231" s="11" t="s">
        <v>259</v>
      </c>
      <c r="D231" s="5">
        <f>B231/SUM($B$2:$B$403)</f>
        <v>0.000562358821651723</v>
      </c>
      <c r="E231" s="5">
        <f>SUMIF($C$2:$C$403,C231,$D$2:$D$403)</f>
        <v>0.000567139512313355</v>
      </c>
      <c r="F231" s="5">
        <f t="shared" si="6"/>
        <v>4.78069066163175e-6</v>
      </c>
      <c r="G231" s="18">
        <f t="shared" si="7"/>
        <v>3.16247444289515e-7</v>
      </c>
    </row>
    <row r="232" spans="1:7">
      <c r="A232" s="16" t="s">
        <v>352</v>
      </c>
      <c r="B232" s="16">
        <v>1720313</v>
      </c>
      <c r="C232" s="11" t="s">
        <v>42</v>
      </c>
      <c r="D232" s="5">
        <f>B232/SUM($B$2:$B$403)</f>
        <v>0.00559475122053309</v>
      </c>
      <c r="E232" s="5">
        <f>SUMIF($C$2:$C$403,C232,$D$2:$D$403)</f>
        <v>0.00559895952918353</v>
      </c>
      <c r="F232" s="5">
        <f t="shared" si="6"/>
        <v>4.20830865044321e-6</v>
      </c>
      <c r="G232" s="18">
        <f t="shared" si="7"/>
        <v>3.13012412196565e-5</v>
      </c>
    </row>
    <row r="233" spans="1:7">
      <c r="A233" s="16" t="s">
        <v>353</v>
      </c>
      <c r="B233" s="16">
        <v>141461</v>
      </c>
      <c r="C233" s="11" t="s">
        <v>272</v>
      </c>
      <c r="D233" s="5">
        <f>B233/SUM($B$2:$B$403)</f>
        <v>0.000460055293663323</v>
      </c>
      <c r="E233" s="5">
        <f>SUMIF($C$2:$C$403,C233,$D$2:$D$403)</f>
        <v>0.000463369255421284</v>
      </c>
      <c r="F233" s="5">
        <f t="shared" si="6"/>
        <v>3.31396175796105e-6</v>
      </c>
      <c r="G233" s="18">
        <f t="shared" si="7"/>
        <v>2.11650873227646e-7</v>
      </c>
    </row>
    <row r="234" spans="1:7">
      <c r="A234" s="16" t="s">
        <v>354</v>
      </c>
      <c r="B234" s="16">
        <v>2504190</v>
      </c>
      <c r="C234" s="11" t="s">
        <v>14</v>
      </c>
      <c r="D234" s="5">
        <f>B234/SUM($B$2:$B$403)</f>
        <v>0.00814405288976294</v>
      </c>
      <c r="E234" s="5">
        <f>SUMIF($C$2:$C$403,C234,$D$2:$D$403)</f>
        <v>0.00814469681952553</v>
      </c>
      <c r="F234" s="5">
        <f t="shared" si="6"/>
        <v>6.43929762587925e-7</v>
      </c>
      <c r="G234" s="18">
        <f t="shared" si="7"/>
        <v>6.63255974712562e-5</v>
      </c>
    </row>
    <row r="235" spans="1:7">
      <c r="A235" s="16" t="s">
        <v>355</v>
      </c>
      <c r="B235" s="16">
        <v>684007</v>
      </c>
      <c r="C235" s="11" t="s">
        <v>356</v>
      </c>
      <c r="D235" s="5">
        <f>B235/SUM($B$2:$B$403)</f>
        <v>0.00222450739958553</v>
      </c>
      <c r="E235" s="5">
        <f>SUMIF($C$2:$C$403,C235,$D$2:$D$403)</f>
        <v>0.00222450739958553</v>
      </c>
      <c r="F235" s="5">
        <f t="shared" si="6"/>
        <v>0</v>
      </c>
      <c r="G235" s="18">
        <f t="shared" si="7"/>
        <v>4.94843317081077e-6</v>
      </c>
    </row>
    <row r="236" spans="1:7">
      <c r="A236" s="16" t="s">
        <v>357</v>
      </c>
      <c r="B236" s="16">
        <v>988004</v>
      </c>
      <c r="C236" s="11" t="s">
        <v>358</v>
      </c>
      <c r="D236" s="5">
        <f>B236/SUM($B$2:$B$403)</f>
        <v>0.00321315748058149</v>
      </c>
      <c r="E236" s="5">
        <f>SUMIF($C$2:$C$403,C236,$D$2:$D$403)</f>
        <v>0.00321315748058149</v>
      </c>
      <c r="F236" s="5">
        <f t="shared" si="6"/>
        <v>0</v>
      </c>
      <c r="G236" s="18">
        <f t="shared" si="7"/>
        <v>1.03243809950168e-5</v>
      </c>
    </row>
    <row r="237" spans="1:7">
      <c r="A237" s="16" t="s">
        <v>359</v>
      </c>
      <c r="B237" s="16">
        <v>496336</v>
      </c>
      <c r="C237" s="11" t="s">
        <v>360</v>
      </c>
      <c r="D237" s="5">
        <f>B237/SUM($B$2:$B$403)</f>
        <v>0.00161416930628003</v>
      </c>
      <c r="E237" s="5">
        <f>SUMIF($C$2:$C$403,C237,$D$2:$D$403)</f>
        <v>0.00161416930628003</v>
      </c>
      <c r="F237" s="5">
        <f t="shared" si="6"/>
        <v>0</v>
      </c>
      <c r="G237" s="18">
        <f t="shared" si="7"/>
        <v>2.60554254933654e-6</v>
      </c>
    </row>
    <row r="238" spans="1:7">
      <c r="A238" s="16" t="s">
        <v>361</v>
      </c>
      <c r="B238" s="16">
        <v>809687</v>
      </c>
      <c r="C238" s="11" t="s">
        <v>362</v>
      </c>
      <c r="D238" s="5">
        <f>B238/SUM($B$2:$B$403)</f>
        <v>0.00263324019030245</v>
      </c>
      <c r="E238" s="5">
        <f>SUMIF($C$2:$C$403,C238,$D$2:$D$403)</f>
        <v>0.00263324019030245</v>
      </c>
      <c r="F238" s="5">
        <f t="shared" si="6"/>
        <v>0</v>
      </c>
      <c r="G238" s="18">
        <f t="shared" si="7"/>
        <v>6.93395389982408e-6</v>
      </c>
    </row>
    <row r="239" spans="1:7">
      <c r="A239" s="16" t="s">
        <v>363</v>
      </c>
      <c r="B239" s="16">
        <v>154298</v>
      </c>
      <c r="C239" s="11" t="s">
        <v>364</v>
      </c>
      <c r="D239" s="5">
        <f>B239/SUM($B$2:$B$403)</f>
        <v>0.000501803406604388</v>
      </c>
      <c r="E239" s="5">
        <f>SUMIF($C$2:$C$403,C239,$D$2:$D$403)</f>
        <v>0.000501803406604388</v>
      </c>
      <c r="F239" s="5">
        <f t="shared" si="6"/>
        <v>0</v>
      </c>
      <c r="G239" s="18">
        <f t="shared" si="7"/>
        <v>2.51806658879769e-7</v>
      </c>
    </row>
    <row r="240" spans="1:7">
      <c r="A240" s="16" t="s">
        <v>365</v>
      </c>
      <c r="B240" s="16">
        <v>1328261</v>
      </c>
      <c r="C240" s="11" t="s">
        <v>366</v>
      </c>
      <c r="D240" s="5">
        <f>B240/SUM($B$2:$B$403)</f>
        <v>0.00431973126456436</v>
      </c>
      <c r="E240" s="5">
        <f>SUMIF($C$2:$C$403,C240,$D$2:$D$403)</f>
        <v>0.00431973126456436</v>
      </c>
      <c r="F240" s="5">
        <f t="shared" si="6"/>
        <v>0</v>
      </c>
      <c r="G240" s="18">
        <f t="shared" si="7"/>
        <v>1.86600781980548e-5</v>
      </c>
    </row>
    <row r="241" spans="1:7">
      <c r="A241" s="16" t="s">
        <v>367</v>
      </c>
      <c r="B241" s="16">
        <v>1097420</v>
      </c>
      <c r="C241" s="11" t="s">
        <v>368</v>
      </c>
      <c r="D241" s="5">
        <f>B241/SUM($B$2:$B$403)</f>
        <v>0.00356899696999175</v>
      </c>
      <c r="E241" s="5">
        <f>SUMIF($C$2:$C$403,C241,$D$2:$D$403)</f>
        <v>0.00356899696999175</v>
      </c>
      <c r="F241" s="5">
        <f t="shared" si="6"/>
        <v>0</v>
      </c>
      <c r="G241" s="18">
        <f t="shared" si="7"/>
        <v>1.27377393718103e-5</v>
      </c>
    </row>
    <row r="242" spans="1:7">
      <c r="A242" s="16" t="s">
        <v>369</v>
      </c>
      <c r="B242" s="16">
        <v>714864</v>
      </c>
      <c r="C242" s="11" t="s">
        <v>370</v>
      </c>
      <c r="D242" s="5">
        <f>B242/SUM($B$2:$B$403)</f>
        <v>0.00232485962526306</v>
      </c>
      <c r="E242" s="5">
        <f>SUMIF($C$2:$C$403,C242,$D$2:$D$403)</f>
        <v>0.00232485962526306</v>
      </c>
      <c r="F242" s="5">
        <f t="shared" si="6"/>
        <v>0</v>
      </c>
      <c r="G242" s="18">
        <f t="shared" si="7"/>
        <v>5.40497227717829e-6</v>
      </c>
    </row>
    <row r="243" spans="1:7">
      <c r="A243" s="16" t="s">
        <v>371</v>
      </c>
      <c r="B243" s="16">
        <v>936004</v>
      </c>
      <c r="C243" s="11" t="s">
        <v>372</v>
      </c>
      <c r="D243" s="5">
        <f>B243/SUM($B$2:$B$403)</f>
        <v>0.00304404461363941</v>
      </c>
      <c r="E243" s="5">
        <f>SUMIF($C$2:$C$403,C243,$D$2:$D$403)</f>
        <v>0.00304404461363941</v>
      </c>
      <c r="F243" s="5">
        <f t="shared" si="6"/>
        <v>0</v>
      </c>
      <c r="G243" s="18">
        <f t="shared" si="7"/>
        <v>9.26620760982711e-6</v>
      </c>
    </row>
    <row r="244" spans="1:7">
      <c r="A244" s="16" t="s">
        <v>373</v>
      </c>
      <c r="B244" s="16">
        <v>787533</v>
      </c>
      <c r="C244" s="11" t="s">
        <v>374</v>
      </c>
      <c r="D244" s="5">
        <f>B244/SUM($B$2:$B$403)</f>
        <v>0.00256119160464409</v>
      </c>
      <c r="E244" s="5">
        <f>SUMIF($C$2:$C$403,C244,$D$2:$D$403)</f>
        <v>0.00256119160464409</v>
      </c>
      <c r="F244" s="5">
        <f t="shared" si="6"/>
        <v>0</v>
      </c>
      <c r="G244" s="18">
        <f t="shared" si="7"/>
        <v>6.55970243569936e-6</v>
      </c>
    </row>
    <row r="245" spans="1:7">
      <c r="A245" s="16" t="s">
        <v>375</v>
      </c>
      <c r="B245" s="16">
        <v>643866</v>
      </c>
      <c r="C245" s="11" t="s">
        <v>376</v>
      </c>
      <c r="D245" s="5">
        <f>B245/SUM($B$2:$B$403)</f>
        <v>0.0020939620228178</v>
      </c>
      <c r="E245" s="5">
        <f>SUMIF($C$2:$C$403,C245,$D$2:$D$403)</f>
        <v>0.0020939620228178</v>
      </c>
      <c r="F245" s="5">
        <f t="shared" si="6"/>
        <v>0</v>
      </c>
      <c r="G245" s="18">
        <f t="shared" si="7"/>
        <v>4.38467695300322e-6</v>
      </c>
    </row>
    <row r="246" spans="1:7">
      <c r="A246" s="16" t="s">
        <v>377</v>
      </c>
      <c r="B246" s="16">
        <v>75013</v>
      </c>
      <c r="C246" s="11" t="s">
        <v>378</v>
      </c>
      <c r="D246" s="5">
        <f>B246/SUM($B$2:$B$403)</f>
        <v>0.000243955067075497</v>
      </c>
      <c r="E246" s="5">
        <f>SUMIF($C$2:$C$403,C246,$D$2:$D$403)</f>
        <v>0.000243955067075497</v>
      </c>
      <c r="F246" s="5">
        <f t="shared" si="6"/>
        <v>0</v>
      </c>
      <c r="G246" s="18">
        <f t="shared" si="7"/>
        <v>5.951407475181e-8</v>
      </c>
    </row>
    <row r="247" spans="1:7">
      <c r="A247" s="16" t="s">
        <v>379</v>
      </c>
      <c r="B247" s="16">
        <v>708962</v>
      </c>
      <c r="C247" s="11" t="s">
        <v>380</v>
      </c>
      <c r="D247" s="5">
        <f>B247/SUM($B$2:$B$403)</f>
        <v>0.00230566531486513</v>
      </c>
      <c r="E247" s="5">
        <f>SUMIF($C$2:$C$403,C247,$D$2:$D$403)</f>
        <v>0.00230566531486513</v>
      </c>
      <c r="F247" s="5">
        <f t="shared" si="6"/>
        <v>0</v>
      </c>
      <c r="G247" s="18">
        <f t="shared" si="7"/>
        <v>5.31609254417213e-6</v>
      </c>
    </row>
    <row r="248" spans="1:7">
      <c r="A248" s="16" t="s">
        <v>381</v>
      </c>
      <c r="B248" s="16">
        <v>361985</v>
      </c>
      <c r="C248" s="11" t="s">
        <v>382</v>
      </c>
      <c r="D248" s="5">
        <f>B248/SUM($B$2:$B$403)</f>
        <v>0.00117723694500052</v>
      </c>
      <c r="E248" s="5">
        <f>SUMIF($C$2:$C$403,C248,$D$2:$D$403)</f>
        <v>0.00117723694500052</v>
      </c>
      <c r="F248" s="5">
        <f t="shared" si="6"/>
        <v>0</v>
      </c>
      <c r="G248" s="18">
        <f t="shared" si="7"/>
        <v>1.38588682467415e-6</v>
      </c>
    </row>
    <row r="249" spans="1:7">
      <c r="A249" s="16" t="s">
        <v>383</v>
      </c>
      <c r="B249" s="16">
        <v>4079290</v>
      </c>
      <c r="C249" s="11" t="s">
        <v>384</v>
      </c>
      <c r="D249" s="5">
        <f>B249/SUM($B$2:$B$403)</f>
        <v>0.0132665466728487</v>
      </c>
      <c r="E249" s="5">
        <f>SUMIF($C$2:$C$403,C249,$D$2:$D$403)</f>
        <v>0.0132665466728487</v>
      </c>
      <c r="F249" s="5">
        <f t="shared" si="6"/>
        <v>0</v>
      </c>
      <c r="G249" s="18">
        <f t="shared" si="7"/>
        <v>0.000176001260622874</v>
      </c>
    </row>
    <row r="250" spans="1:7">
      <c r="A250" s="16" t="s">
        <v>385</v>
      </c>
      <c r="B250" s="16">
        <v>406091</v>
      </c>
      <c r="C250" s="11" t="s">
        <v>386</v>
      </c>
      <c r="D250" s="5">
        <f>B250/SUM($B$2:$B$403)</f>
        <v>0.00132067717787258</v>
      </c>
      <c r="E250" s="5">
        <f>SUMIF($C$2:$C$403,C250,$D$2:$D$403)</f>
        <v>0.00132067717787258</v>
      </c>
      <c r="F250" s="5">
        <f t="shared" si="6"/>
        <v>0</v>
      </c>
      <c r="G250" s="18">
        <f t="shared" si="7"/>
        <v>1.74418820815347e-6</v>
      </c>
    </row>
    <row r="251" spans="1:7">
      <c r="A251" s="16" t="s">
        <v>387</v>
      </c>
      <c r="B251" s="16">
        <v>25731</v>
      </c>
      <c r="C251" s="11" t="s">
        <v>388</v>
      </c>
      <c r="D251" s="5">
        <f>B251/SUM($B$2:$B$403)</f>
        <v>8.36815996016637e-5</v>
      </c>
      <c r="E251" s="5">
        <f>SUMIF($C$2:$C$403,C251,$D$2:$D$403)</f>
        <v>8.36815996016637e-5</v>
      </c>
      <c r="F251" s="5">
        <f t="shared" si="6"/>
        <v>0</v>
      </c>
      <c r="G251" s="18">
        <f t="shared" si="7"/>
        <v>7.00261011189317e-9</v>
      </c>
    </row>
    <row r="252" spans="1:7">
      <c r="A252" s="16" t="s">
        <v>389</v>
      </c>
      <c r="B252" s="16">
        <v>759234</v>
      </c>
      <c r="C252" s="11" t="s">
        <v>390</v>
      </c>
      <c r="D252" s="5">
        <f>B252/SUM($B$2:$B$403)</f>
        <v>0.0024691584311519</v>
      </c>
      <c r="E252" s="5">
        <f>SUMIF($C$2:$C$403,C252,$D$2:$D$403)</f>
        <v>0.0024691584311519</v>
      </c>
      <c r="F252" s="5">
        <f t="shared" si="6"/>
        <v>0</v>
      </c>
      <c r="G252" s="18">
        <f t="shared" si="7"/>
        <v>6.09674335812852e-6</v>
      </c>
    </row>
    <row r="253" spans="1:7">
      <c r="A253" s="16" t="s">
        <v>391</v>
      </c>
      <c r="B253" s="16">
        <v>1833141</v>
      </c>
      <c r="C253" s="11" t="s">
        <v>392</v>
      </c>
      <c r="D253" s="5">
        <f>B253/SUM($B$2:$B$403)</f>
        <v>0.00596168711575118</v>
      </c>
      <c r="E253" s="5">
        <f>SUMIF($C$2:$C$403,C253,$D$2:$D$403)</f>
        <v>0.00596168711575118</v>
      </c>
      <c r="F253" s="5">
        <f t="shared" si="6"/>
        <v>0</v>
      </c>
      <c r="G253" s="18">
        <f t="shared" si="7"/>
        <v>3.55417132661136e-5</v>
      </c>
    </row>
    <row r="254" spans="1:7">
      <c r="A254" s="16" t="s">
        <v>393</v>
      </c>
      <c r="B254" s="16">
        <v>248646</v>
      </c>
      <c r="C254" s="11" t="s">
        <v>394</v>
      </c>
      <c r="D254" s="5">
        <f>B254/SUM($B$2:$B$403)</f>
        <v>0.000808639190647673</v>
      </c>
      <c r="E254" s="5">
        <f>SUMIF($C$2:$C$403,C254,$D$2:$D$403)</f>
        <v>0.000808639190647673</v>
      </c>
      <c r="F254" s="5">
        <f t="shared" si="6"/>
        <v>0</v>
      </c>
      <c r="G254" s="18">
        <f t="shared" si="7"/>
        <v>6.53897340651324e-7</v>
      </c>
    </row>
    <row r="255" spans="1:7">
      <c r="A255" s="16" t="s">
        <v>395</v>
      </c>
      <c r="B255" s="16">
        <v>350771</v>
      </c>
      <c r="C255" s="11" t="s">
        <v>396</v>
      </c>
      <c r="D255" s="5">
        <f>B255/SUM($B$2:$B$403)</f>
        <v>0.00114076710481035</v>
      </c>
      <c r="E255" s="5">
        <f>SUMIF($C$2:$C$403,C255,$D$2:$D$403)</f>
        <v>0.00114076710481035</v>
      </c>
      <c r="F255" s="5">
        <f t="shared" si="6"/>
        <v>0</v>
      </c>
      <c r="G255" s="18">
        <f t="shared" si="7"/>
        <v>1.3013495874174e-6</v>
      </c>
    </row>
    <row r="256" spans="1:7">
      <c r="A256" s="16" t="s">
        <v>397</v>
      </c>
      <c r="B256" s="16">
        <v>259833</v>
      </c>
      <c r="C256" s="11" t="s">
        <v>398</v>
      </c>
      <c r="D256" s="5">
        <f>B256/SUM($B$2:$B$403)</f>
        <v>0.000845021222233846</v>
      </c>
      <c r="E256" s="5">
        <f>SUMIF($C$2:$C$403,C256,$D$2:$D$403)</f>
        <v>0.000845021222233846</v>
      </c>
      <c r="F256" s="5">
        <f t="shared" si="6"/>
        <v>0</v>
      </c>
      <c r="G256" s="18">
        <f t="shared" si="7"/>
        <v>7.14060866025583e-7</v>
      </c>
    </row>
    <row r="257" spans="1:7">
      <c r="A257" s="16" t="s">
        <v>399</v>
      </c>
      <c r="B257" s="16">
        <v>1786300</v>
      </c>
      <c r="C257" s="11" t="s">
        <v>400</v>
      </c>
      <c r="D257" s="5">
        <f>B257/SUM($B$2:$B$403)</f>
        <v>0.00580935219651207</v>
      </c>
      <c r="E257" s="5">
        <f>SUMIF($C$2:$C$403,C257,$D$2:$D$403)</f>
        <v>0.00580935219651207</v>
      </c>
      <c r="F257" s="5">
        <f t="shared" si="6"/>
        <v>0</v>
      </c>
      <c r="G257" s="18">
        <f t="shared" si="7"/>
        <v>3.37485729431196e-5</v>
      </c>
    </row>
    <row r="258" spans="1:7">
      <c r="A258" s="16" t="s">
        <v>401</v>
      </c>
      <c r="B258" s="16">
        <v>495085</v>
      </c>
      <c r="C258" s="11" t="s">
        <v>402</v>
      </c>
      <c r="D258" s="5">
        <f>B258/SUM($B$2:$B$403)</f>
        <v>0.00161010084096186</v>
      </c>
      <c r="E258" s="5">
        <f>SUMIF($C$2:$C$403,C258,$D$2:$D$403)</f>
        <v>0.00161010084096186</v>
      </c>
      <c r="F258" s="5">
        <f t="shared" ref="F258:F321" si="8">E258-D258</f>
        <v>0</v>
      </c>
      <c r="G258" s="18">
        <f t="shared" si="7"/>
        <v>2.5924247180661e-6</v>
      </c>
    </row>
    <row r="259" spans="1:7">
      <c r="A259" s="16" t="s">
        <v>403</v>
      </c>
      <c r="B259" s="16">
        <v>211952</v>
      </c>
      <c r="C259" s="11" t="s">
        <v>404</v>
      </c>
      <c r="D259" s="5">
        <f>B259/SUM($B$2:$B$403)</f>
        <v>0.000689304045655895</v>
      </c>
      <c r="E259" s="5">
        <f>SUMIF($C$2:$C$403,C259,$D$2:$D$403)</f>
        <v>0.000689304045655895</v>
      </c>
      <c r="F259" s="5">
        <f t="shared" si="8"/>
        <v>0</v>
      </c>
      <c r="G259" s="18">
        <f t="shared" ref="G259:G322" si="9">D259*D259</f>
        <v>4.75140067357584e-7</v>
      </c>
    </row>
    <row r="260" spans="1:7">
      <c r="A260" s="16" t="s">
        <v>405</v>
      </c>
      <c r="B260" s="16">
        <v>134427</v>
      </c>
      <c r="C260" s="11" t="s">
        <v>406</v>
      </c>
      <c r="D260" s="5">
        <f>B260/SUM($B$2:$B$403)</f>
        <v>0.000437179526238889</v>
      </c>
      <c r="E260" s="5">
        <f>SUMIF($C$2:$C$403,C260,$D$2:$D$403)</f>
        <v>0.000437179526238889</v>
      </c>
      <c r="F260" s="5">
        <f t="shared" si="8"/>
        <v>0</v>
      </c>
      <c r="G260" s="18">
        <f t="shared" si="9"/>
        <v>1.91125938162459e-7</v>
      </c>
    </row>
    <row r="261" spans="1:7">
      <c r="A261" s="16" t="s">
        <v>407</v>
      </c>
      <c r="B261" s="16">
        <v>1967791</v>
      </c>
      <c r="C261" s="11" t="s">
        <v>408</v>
      </c>
      <c r="D261" s="5">
        <f>B261/SUM($B$2:$B$403)</f>
        <v>0.0063995918760156</v>
      </c>
      <c r="E261" s="5">
        <f>SUMIF($C$2:$C$403,C261,$D$2:$D$403)</f>
        <v>0.0063995918760156</v>
      </c>
      <c r="F261" s="5">
        <f t="shared" si="8"/>
        <v>0</v>
      </c>
      <c r="G261" s="18">
        <f t="shared" si="9"/>
        <v>4.09547761795649e-5</v>
      </c>
    </row>
    <row r="262" spans="1:7">
      <c r="A262" s="16" t="s">
        <v>409</v>
      </c>
      <c r="B262" s="16">
        <v>405214</v>
      </c>
      <c r="C262" s="11" t="s">
        <v>410</v>
      </c>
      <c r="D262" s="5">
        <f>B262/SUM($B$2:$B$403)</f>
        <v>0.00131782502432819</v>
      </c>
      <c r="E262" s="5">
        <f>SUMIF($C$2:$C$403,C262,$D$2:$D$403)</f>
        <v>0.00131782502432819</v>
      </c>
      <c r="F262" s="5">
        <f t="shared" si="8"/>
        <v>0</v>
      </c>
      <c r="G262" s="18">
        <f t="shared" si="9"/>
        <v>1.73666279474559e-6</v>
      </c>
    </row>
    <row r="263" spans="1:7">
      <c r="A263" s="16" t="s">
        <v>411</v>
      </c>
      <c r="B263" s="16">
        <v>254143</v>
      </c>
      <c r="C263" s="11" t="s">
        <v>412</v>
      </c>
      <c r="D263" s="5">
        <f>B263/SUM($B$2:$B$403)</f>
        <v>0.000826516371985762</v>
      </c>
      <c r="E263" s="5">
        <f>SUMIF($C$2:$C$403,C263,$D$2:$D$403)</f>
        <v>0.000826516371985762</v>
      </c>
      <c r="F263" s="5">
        <f t="shared" si="8"/>
        <v>0</v>
      </c>
      <c r="G263" s="18">
        <f t="shared" si="9"/>
        <v>6.83129313160506e-7</v>
      </c>
    </row>
    <row r="264" spans="1:7">
      <c r="A264" s="16" t="s">
        <v>413</v>
      </c>
      <c r="B264" s="16">
        <v>39692</v>
      </c>
      <c r="C264" s="11" t="s">
        <v>414</v>
      </c>
      <c r="D264" s="5">
        <f>B264/SUM($B$2:$B$403)</f>
        <v>0.000129085152205093</v>
      </c>
      <c r="E264" s="5">
        <f>SUMIF($C$2:$C$403,C264,$D$2:$D$403)</f>
        <v>0.000129085152205093</v>
      </c>
      <c r="F264" s="5">
        <f t="shared" si="8"/>
        <v>0</v>
      </c>
      <c r="G264" s="18">
        <f t="shared" si="9"/>
        <v>1.66629765198119e-8</v>
      </c>
    </row>
    <row r="265" spans="1:7">
      <c r="A265" s="16" t="s">
        <v>415</v>
      </c>
      <c r="B265" s="16">
        <v>6660</v>
      </c>
      <c r="C265" s="11" t="s">
        <v>416</v>
      </c>
      <c r="D265" s="5">
        <f>B265/SUM($B$2:$B$403)</f>
        <v>2.1659455650658e-5</v>
      </c>
      <c r="E265" s="5">
        <f>SUMIF($C$2:$C$403,C265,$D$2:$D$403)</f>
        <v>2.1659455650658e-5</v>
      </c>
      <c r="F265" s="5">
        <f t="shared" si="8"/>
        <v>0</v>
      </c>
      <c r="G265" s="18">
        <f t="shared" si="9"/>
        <v>4.6913201908282e-10</v>
      </c>
    </row>
    <row r="266" spans="1:7">
      <c r="A266" s="16" t="s">
        <v>417</v>
      </c>
      <c r="B266" s="16">
        <v>884245</v>
      </c>
      <c r="C266" s="11" t="s">
        <v>418</v>
      </c>
      <c r="D266" s="5">
        <f>B266/SUM($B$2:$B$403)</f>
        <v>0.0028757155197922</v>
      </c>
      <c r="E266" s="5">
        <f>SUMIF($C$2:$C$403,C266,$D$2:$D$403)</f>
        <v>0.0028757155197922</v>
      </c>
      <c r="F266" s="5">
        <f t="shared" si="8"/>
        <v>0</v>
      </c>
      <c r="G266" s="18">
        <f t="shared" si="9"/>
        <v>8.26973975077374e-6</v>
      </c>
    </row>
    <row r="267" spans="1:7">
      <c r="A267" s="16" t="s">
        <v>419</v>
      </c>
      <c r="B267" s="16">
        <v>923950</v>
      </c>
      <c r="C267" s="11" t="s">
        <v>420</v>
      </c>
      <c r="D267" s="5">
        <f>B267/SUM($B$2:$B$403)</f>
        <v>0.00300484295021403</v>
      </c>
      <c r="E267" s="5">
        <f>SUMIF($C$2:$C$403,C267,$D$2:$D$403)</f>
        <v>0.00300484295021403</v>
      </c>
      <c r="F267" s="5">
        <f t="shared" si="8"/>
        <v>0</v>
      </c>
      <c r="G267" s="18">
        <f t="shared" si="9"/>
        <v>9.02908115545096e-6</v>
      </c>
    </row>
    <row r="268" spans="1:7">
      <c r="A268" s="16" t="s">
        <v>421</v>
      </c>
      <c r="B268" s="16">
        <v>891698</v>
      </c>
      <c r="C268" s="11" t="s">
        <v>422</v>
      </c>
      <c r="D268" s="5">
        <f>B268/SUM($B$2:$B$403)</f>
        <v>0.00289995394666373</v>
      </c>
      <c r="E268" s="5">
        <f>SUMIF($C$2:$C$403,C268,$D$2:$D$403)</f>
        <v>0.00289995394666373</v>
      </c>
      <c r="F268" s="5">
        <f t="shared" si="8"/>
        <v>0</v>
      </c>
      <c r="G268" s="18">
        <f t="shared" si="9"/>
        <v>8.40973289277053e-6</v>
      </c>
    </row>
    <row r="269" spans="1:7">
      <c r="A269" s="16" t="s">
        <v>423</v>
      </c>
      <c r="B269" s="16">
        <v>2420704</v>
      </c>
      <c r="C269" s="11" t="s">
        <v>424</v>
      </c>
      <c r="D269" s="5">
        <f>B269/SUM($B$2:$B$403)</f>
        <v>0.00787254218188744</v>
      </c>
      <c r="E269" s="5">
        <f>SUMIF($C$2:$C$403,C269,$D$2:$D$403)</f>
        <v>0.00787254218188744</v>
      </c>
      <c r="F269" s="5">
        <f t="shared" si="8"/>
        <v>0</v>
      </c>
      <c r="G269" s="18">
        <f t="shared" si="9"/>
        <v>6.19769204055971e-5</v>
      </c>
    </row>
    <row r="270" spans="1:7">
      <c r="A270" s="16" t="s">
        <v>425</v>
      </c>
      <c r="B270" s="16">
        <v>12648125</v>
      </c>
      <c r="C270" s="11" t="s">
        <v>426</v>
      </c>
      <c r="D270" s="5">
        <f>B270/SUM($B$2:$B$403)</f>
        <v>0.0411338592344562</v>
      </c>
      <c r="E270" s="5">
        <f>SUMIF($C$2:$C$403,C270,$D$2:$D$403)</f>
        <v>0.0411338592344562</v>
      </c>
      <c r="F270" s="5">
        <f t="shared" si="8"/>
        <v>0</v>
      </c>
      <c r="G270" s="18">
        <f t="shared" si="9"/>
        <v>0.00169199437552006</v>
      </c>
    </row>
    <row r="271" spans="1:7">
      <c r="A271" s="16" t="s">
        <v>427</v>
      </c>
      <c r="B271" s="16">
        <v>1</v>
      </c>
      <c r="C271" s="11" t="s">
        <v>428</v>
      </c>
      <c r="D271" s="5">
        <f>B271/SUM($B$2:$B$403)</f>
        <v>3.25217051811681e-9</v>
      </c>
      <c r="E271" s="5">
        <f>SUMIF($C$2:$C$403,C271,$D$2:$D$403)</f>
        <v>3.25217051811681e-9</v>
      </c>
      <c r="F271" s="5">
        <f t="shared" si="8"/>
        <v>0</v>
      </c>
      <c r="G271" s="18">
        <f t="shared" si="9"/>
        <v>1.05766130789082e-17</v>
      </c>
    </row>
    <row r="272" spans="1:7">
      <c r="A272" s="16" t="s">
        <v>429</v>
      </c>
      <c r="B272" s="16">
        <v>2464890</v>
      </c>
      <c r="C272" s="11" t="s">
        <v>430</v>
      </c>
      <c r="D272" s="5">
        <f>B272/SUM($B$2:$B$403)</f>
        <v>0.00801624258840095</v>
      </c>
      <c r="E272" s="5">
        <f>SUMIF($C$2:$C$403,C272,$D$2:$D$403)</f>
        <v>0.00801624258840095</v>
      </c>
      <c r="F272" s="5">
        <f t="shared" si="8"/>
        <v>0</v>
      </c>
      <c r="G272" s="18">
        <f t="shared" si="9"/>
        <v>6.42601452360932e-5</v>
      </c>
    </row>
    <row r="273" spans="1:7">
      <c r="A273" s="16" t="s">
        <v>431</v>
      </c>
      <c r="B273" s="16">
        <v>1114173</v>
      </c>
      <c r="C273" s="11" t="s">
        <v>432</v>
      </c>
      <c r="D273" s="5">
        <f>B273/SUM($B$2:$B$403)</f>
        <v>0.00362348058268177</v>
      </c>
      <c r="E273" s="5">
        <f>SUMIF($C$2:$C$403,C273,$D$2:$D$403)</f>
        <v>0.00362348058268177</v>
      </c>
      <c r="F273" s="5">
        <f t="shared" si="8"/>
        <v>0</v>
      </c>
      <c r="G273" s="18">
        <f t="shared" si="9"/>
        <v>1.31296115330718e-5</v>
      </c>
    </row>
    <row r="274" spans="1:7">
      <c r="A274" s="16" t="s">
        <v>433</v>
      </c>
      <c r="B274" s="16">
        <v>786771</v>
      </c>
      <c r="C274" s="11" t="s">
        <v>434</v>
      </c>
      <c r="D274" s="5">
        <f>B274/SUM($B$2:$B$403)</f>
        <v>0.00255871345070928</v>
      </c>
      <c r="E274" s="5">
        <f>SUMIF($C$2:$C$403,C274,$D$2:$D$403)</f>
        <v>0.00255871345070928</v>
      </c>
      <c r="F274" s="5">
        <f t="shared" si="8"/>
        <v>0</v>
      </c>
      <c r="G274" s="18">
        <f t="shared" si="9"/>
        <v>6.54701452284061e-6</v>
      </c>
    </row>
    <row r="275" spans="1:7">
      <c r="A275" s="16" t="s">
        <v>435</v>
      </c>
      <c r="B275" s="16">
        <v>372847</v>
      </c>
      <c r="C275" s="11" t="s">
        <v>436</v>
      </c>
      <c r="D275" s="5">
        <f>B275/SUM($B$2:$B$403)</f>
        <v>0.0012125620211683</v>
      </c>
      <c r="E275" s="5">
        <f>SUMIF($C$2:$C$403,C275,$D$2:$D$403)</f>
        <v>0.0012125620211683</v>
      </c>
      <c r="F275" s="5">
        <f t="shared" si="8"/>
        <v>0</v>
      </c>
      <c r="G275" s="18">
        <f t="shared" si="9"/>
        <v>1.47030665517975e-6</v>
      </c>
    </row>
    <row r="276" spans="1:7">
      <c r="A276" s="16" t="s">
        <v>437</v>
      </c>
      <c r="B276" s="16">
        <v>1442442</v>
      </c>
      <c r="C276" s="11" t="s">
        <v>438</v>
      </c>
      <c r="D276" s="5">
        <f>B276/SUM($B$2:$B$403)</f>
        <v>0.00469106734649345</v>
      </c>
      <c r="E276" s="5">
        <f>SUMIF($C$2:$C$403,C276,$D$2:$D$403)</f>
        <v>0.00469106734649345</v>
      </c>
      <c r="F276" s="5">
        <f t="shared" si="8"/>
        <v>0</v>
      </c>
      <c r="G276" s="18">
        <f t="shared" si="9"/>
        <v>2.20061128493371e-5</v>
      </c>
    </row>
    <row r="277" spans="1:7">
      <c r="A277" s="16" t="s">
        <v>439</v>
      </c>
      <c r="B277" s="16">
        <v>176038</v>
      </c>
      <c r="C277" s="11" t="s">
        <v>440</v>
      </c>
      <c r="D277" s="5">
        <f>B277/SUM($B$2:$B$403)</f>
        <v>0.000572505593668248</v>
      </c>
      <c r="E277" s="5">
        <f>SUMIF($C$2:$C$403,C277,$D$2:$D$403)</f>
        <v>0.000572505593668248</v>
      </c>
      <c r="F277" s="5">
        <f t="shared" si="8"/>
        <v>0</v>
      </c>
      <c r="G277" s="18">
        <f t="shared" si="9"/>
        <v>3.27762654781433e-7</v>
      </c>
    </row>
    <row r="278" spans="1:7">
      <c r="A278" s="16" t="s">
        <v>441</v>
      </c>
      <c r="B278" s="16">
        <v>251932</v>
      </c>
      <c r="C278" s="11" t="s">
        <v>442</v>
      </c>
      <c r="D278" s="5">
        <f>B278/SUM($B$2:$B$403)</f>
        <v>0.000819325822970205</v>
      </c>
      <c r="E278" s="5">
        <f>SUMIF($C$2:$C$403,C278,$D$2:$D$403)</f>
        <v>0.000819325822970205</v>
      </c>
      <c r="F278" s="5">
        <f t="shared" si="8"/>
        <v>0</v>
      </c>
      <c r="G278" s="18">
        <f t="shared" si="9"/>
        <v>6.71294804185804e-7</v>
      </c>
    </row>
    <row r="279" spans="1:7">
      <c r="A279" s="16" t="s">
        <v>443</v>
      </c>
      <c r="B279" s="16">
        <v>10893</v>
      </c>
      <c r="C279" s="11" t="s">
        <v>444</v>
      </c>
      <c r="D279" s="5">
        <f>B279/SUM($B$2:$B$403)</f>
        <v>3.54258934538465e-5</v>
      </c>
      <c r="E279" s="5">
        <f>SUMIF($C$2:$C$403,C279,$D$2:$D$403)</f>
        <v>3.54258934538465e-5</v>
      </c>
      <c r="F279" s="5">
        <f t="shared" si="8"/>
        <v>0</v>
      </c>
      <c r="G279" s="18">
        <f t="shared" si="9"/>
        <v>1.25499392700328e-9</v>
      </c>
    </row>
    <row r="280" spans="1:7">
      <c r="A280" s="16" t="s">
        <v>445</v>
      </c>
      <c r="B280" s="16">
        <v>607987</v>
      </c>
      <c r="C280" s="11" t="s">
        <v>446</v>
      </c>
      <c r="D280" s="5">
        <f>B280/SUM($B$2:$B$403)</f>
        <v>0.00197727739679829</v>
      </c>
      <c r="E280" s="5">
        <f>SUMIF($C$2:$C$403,C280,$D$2:$D$403)</f>
        <v>0.00197727739679829</v>
      </c>
      <c r="F280" s="5">
        <f t="shared" si="8"/>
        <v>0</v>
      </c>
      <c r="G280" s="18">
        <f t="shared" si="9"/>
        <v>3.90962590388941e-6</v>
      </c>
    </row>
    <row r="281" spans="1:7">
      <c r="A281" s="16" t="s">
        <v>447</v>
      </c>
      <c r="B281" s="16">
        <v>653401</v>
      </c>
      <c r="C281" s="11" t="s">
        <v>448</v>
      </c>
      <c r="D281" s="5">
        <f>B281/SUM($B$2:$B$403)</f>
        <v>0.00212497146870804</v>
      </c>
      <c r="E281" s="5">
        <f>SUMIF($C$2:$C$403,C281,$D$2:$D$403)</f>
        <v>0.00212497146870804</v>
      </c>
      <c r="F281" s="5">
        <f t="shared" si="8"/>
        <v>0</v>
      </c>
      <c r="G281" s="18">
        <f t="shared" si="9"/>
        <v>4.51550374282322e-6</v>
      </c>
    </row>
    <row r="282" spans="1:7">
      <c r="A282" s="16" t="s">
        <v>449</v>
      </c>
      <c r="B282" s="16">
        <v>905985</v>
      </c>
      <c r="C282" s="11" t="s">
        <v>450</v>
      </c>
      <c r="D282" s="5">
        <f>B282/SUM($B$2:$B$403)</f>
        <v>0.00294641770685606</v>
      </c>
      <c r="E282" s="5">
        <f>SUMIF($C$2:$C$403,C282,$D$2:$D$403)</f>
        <v>0.00294641770685606</v>
      </c>
      <c r="F282" s="5">
        <f t="shared" si="8"/>
        <v>0</v>
      </c>
      <c r="G282" s="18">
        <f t="shared" si="9"/>
        <v>8.68137730327494e-6</v>
      </c>
    </row>
    <row r="283" spans="1:7">
      <c r="A283" s="16" t="s">
        <v>451</v>
      </c>
      <c r="B283" s="16">
        <v>2806040</v>
      </c>
      <c r="C283" s="11" t="s">
        <v>452</v>
      </c>
      <c r="D283" s="5">
        <f>B283/SUM($B$2:$B$403)</f>
        <v>0.00912572056065651</v>
      </c>
      <c r="E283" s="5">
        <f>SUMIF($C$2:$C$403,C283,$D$2:$D$403)</f>
        <v>0.00912572056065651</v>
      </c>
      <c r="F283" s="5">
        <f t="shared" si="8"/>
        <v>0</v>
      </c>
      <c r="G283" s="18">
        <f t="shared" si="9"/>
        <v>8.32787757511889e-5</v>
      </c>
    </row>
    <row r="284" spans="1:7">
      <c r="A284" s="16" t="s">
        <v>453</v>
      </c>
      <c r="B284" s="16">
        <v>275683</v>
      </c>
      <c r="C284" s="11" t="s">
        <v>454</v>
      </c>
      <c r="D284" s="5">
        <f>B284/SUM($B$2:$B$403)</f>
        <v>0.000896568124945998</v>
      </c>
      <c r="E284" s="5">
        <f>SUMIF($C$2:$C$403,C284,$D$2:$D$403)</f>
        <v>0.000896568124945998</v>
      </c>
      <c r="F284" s="5">
        <f t="shared" si="8"/>
        <v>0</v>
      </c>
      <c r="G284" s="18">
        <f t="shared" si="9"/>
        <v>8.03834402669182e-7</v>
      </c>
    </row>
    <row r="285" spans="1:7">
      <c r="A285" s="16" t="s">
        <v>455</v>
      </c>
      <c r="B285" s="16">
        <v>310545</v>
      </c>
      <c r="C285" s="11" t="s">
        <v>456</v>
      </c>
      <c r="D285" s="5">
        <f>B285/SUM($B$2:$B$403)</f>
        <v>0.00100994529354859</v>
      </c>
      <c r="E285" s="5">
        <f>SUMIF($C$2:$C$403,C285,$D$2:$D$403)</f>
        <v>0.00100994529354859</v>
      </c>
      <c r="F285" s="5">
        <f t="shared" si="8"/>
        <v>0</v>
      </c>
      <c r="G285" s="18">
        <f t="shared" si="9"/>
        <v>1.01998949596094e-6</v>
      </c>
    </row>
    <row r="286" spans="1:7">
      <c r="A286" s="16" t="s">
        <v>457</v>
      </c>
      <c r="B286" s="16">
        <v>2233833</v>
      </c>
      <c r="C286" s="11" t="s">
        <v>458</v>
      </c>
      <c r="D286" s="5">
        <f>B286/SUM($B$2:$B$403)</f>
        <v>0.00726480582499644</v>
      </c>
      <c r="E286" s="5">
        <f>SUMIF($C$2:$C$403,C286,$D$2:$D$403)</f>
        <v>0.00726480582499644</v>
      </c>
      <c r="F286" s="5">
        <f t="shared" si="8"/>
        <v>0</v>
      </c>
      <c r="G286" s="18">
        <f t="shared" si="9"/>
        <v>5.27774036749022e-5</v>
      </c>
    </row>
    <row r="287" spans="1:7">
      <c r="A287" s="16" t="s">
        <v>459</v>
      </c>
      <c r="B287" s="16">
        <v>365284</v>
      </c>
      <c r="C287" s="11" t="s">
        <v>460</v>
      </c>
      <c r="D287" s="5">
        <f>B287/SUM($B$2:$B$403)</f>
        <v>0.00118796585553978</v>
      </c>
      <c r="E287" s="5">
        <f>SUMIF($C$2:$C$403,C287,$D$2:$D$403)</f>
        <v>0.00118796585553978</v>
      </c>
      <c r="F287" s="5">
        <f t="shared" si="8"/>
        <v>0</v>
      </c>
      <c r="G287" s="18">
        <f t="shared" si="9"/>
        <v>1.41126287392837e-6</v>
      </c>
    </row>
    <row r="288" spans="1:7">
      <c r="A288" s="16" t="s">
        <v>461</v>
      </c>
      <c r="B288" s="16">
        <v>697367</v>
      </c>
      <c r="C288" s="11" t="s">
        <v>462</v>
      </c>
      <c r="D288" s="5">
        <f>B288/SUM($B$2:$B$403)</f>
        <v>0.00226795639770757</v>
      </c>
      <c r="E288" s="5">
        <f>SUMIF($C$2:$C$403,C288,$D$2:$D$403)</f>
        <v>0.00226795639770757</v>
      </c>
      <c r="F288" s="5">
        <f t="shared" si="8"/>
        <v>0</v>
      </c>
      <c r="G288" s="18">
        <f t="shared" si="9"/>
        <v>5.14362622190269e-6</v>
      </c>
    </row>
    <row r="289" spans="1:7">
      <c r="A289" s="16" t="s">
        <v>463</v>
      </c>
      <c r="B289" s="16">
        <v>1431379</v>
      </c>
      <c r="C289" s="11" t="s">
        <v>464</v>
      </c>
      <c r="D289" s="5">
        <f>B289/SUM($B$2:$B$403)</f>
        <v>0.00465508858405153</v>
      </c>
      <c r="E289" s="5">
        <f>SUMIF($C$2:$C$403,C289,$D$2:$D$403)</f>
        <v>0.00465508858405153</v>
      </c>
      <c r="F289" s="5">
        <f t="shared" si="8"/>
        <v>0</v>
      </c>
      <c r="G289" s="18">
        <f t="shared" si="9"/>
        <v>2.16698497253669e-5</v>
      </c>
    </row>
    <row r="290" spans="1:7">
      <c r="A290" s="16" t="s">
        <v>465</v>
      </c>
      <c r="B290" s="16">
        <v>442996</v>
      </c>
      <c r="C290" s="11" t="s">
        <v>466</v>
      </c>
      <c r="D290" s="5">
        <f>B290/SUM($B$2:$B$403)</f>
        <v>0.00144069853084368</v>
      </c>
      <c r="E290" s="5">
        <f>SUMIF($C$2:$C$403,C290,$D$2:$D$403)</f>
        <v>0.00144069853084368</v>
      </c>
      <c r="F290" s="5">
        <f t="shared" si="8"/>
        <v>0</v>
      </c>
      <c r="G290" s="18">
        <f t="shared" si="9"/>
        <v>2.07561225677513e-6</v>
      </c>
    </row>
    <row r="291" spans="1:7">
      <c r="A291" s="16" t="s">
        <v>467</v>
      </c>
      <c r="B291" s="16">
        <v>475659</v>
      </c>
      <c r="C291" s="11" t="s">
        <v>468</v>
      </c>
      <c r="D291" s="5">
        <f>B291/SUM($B$2:$B$403)</f>
        <v>0.00154692417647693</v>
      </c>
      <c r="E291" s="5">
        <f>SUMIF($C$2:$C$403,C291,$D$2:$D$403)</f>
        <v>0.00154692417647693</v>
      </c>
      <c r="F291" s="5">
        <f t="shared" si="8"/>
        <v>0</v>
      </c>
      <c r="G291" s="18">
        <f t="shared" si="9"/>
        <v>2.39297440776882e-6</v>
      </c>
    </row>
    <row r="292" spans="1:7">
      <c r="A292" s="16" t="s">
        <v>469</v>
      </c>
      <c r="B292" s="16">
        <v>3794793</v>
      </c>
      <c r="C292" s="11" t="s">
        <v>470</v>
      </c>
      <c r="D292" s="5">
        <f>B292/SUM($B$2:$B$403)</f>
        <v>0.0123413139169561</v>
      </c>
      <c r="E292" s="5">
        <f>SUMIF($C$2:$C$403,C292,$D$2:$D$403)</f>
        <v>0.0123413139169561</v>
      </c>
      <c r="F292" s="5">
        <f t="shared" si="8"/>
        <v>0</v>
      </c>
      <c r="G292" s="18">
        <f t="shared" si="9"/>
        <v>0.000152308029196853</v>
      </c>
    </row>
    <row r="293" spans="1:7">
      <c r="A293" s="16" t="s">
        <v>471</v>
      </c>
      <c r="B293" s="16">
        <v>5378305</v>
      </c>
      <c r="C293" s="11" t="s">
        <v>472</v>
      </c>
      <c r="D293" s="5">
        <f>B293/SUM($B$2:$B$403)</f>
        <v>0.0174911649584403</v>
      </c>
      <c r="E293" s="5">
        <f>SUMIF($C$2:$C$403,C293,$D$2:$D$403)</f>
        <v>0.0174911649584403</v>
      </c>
      <c r="F293" s="5">
        <f t="shared" si="8"/>
        <v>0</v>
      </c>
      <c r="G293" s="18">
        <f t="shared" si="9"/>
        <v>0.000305940851603368</v>
      </c>
    </row>
    <row r="294" spans="1:7">
      <c r="A294" s="16" t="s">
        <v>473</v>
      </c>
      <c r="B294" s="16">
        <v>2157554</v>
      </c>
      <c r="C294" s="11" t="s">
        <v>474</v>
      </c>
      <c r="D294" s="5">
        <f>B294/SUM($B$2:$B$403)</f>
        <v>0.00701673351004501</v>
      </c>
      <c r="E294" s="5">
        <f>SUMIF($C$2:$C$403,C294,$D$2:$D$403)</f>
        <v>0.00701673351004501</v>
      </c>
      <c r="F294" s="5">
        <f t="shared" si="8"/>
        <v>0</v>
      </c>
      <c r="G294" s="18">
        <f t="shared" si="9"/>
        <v>4.92345491509885e-5</v>
      </c>
    </row>
    <row r="295" spans="1:7">
      <c r="A295" s="16" t="s">
        <v>475</v>
      </c>
      <c r="B295" s="16">
        <v>2449940</v>
      </c>
      <c r="C295" s="11" t="s">
        <v>476</v>
      </c>
      <c r="D295" s="5">
        <f>B295/SUM($B$2:$B$403)</f>
        <v>0.00796762263915511</v>
      </c>
      <c r="E295" s="5">
        <f>SUMIF($C$2:$C$403,C295,$D$2:$D$403)</f>
        <v>0.00796762263915511</v>
      </c>
      <c r="F295" s="5">
        <f t="shared" si="8"/>
        <v>0</v>
      </c>
      <c r="G295" s="18">
        <f t="shared" si="9"/>
        <v>6.3483010519977e-5</v>
      </c>
    </row>
    <row r="296" spans="1:7">
      <c r="A296" s="16" t="s">
        <v>477</v>
      </c>
      <c r="B296" s="16">
        <v>1039535</v>
      </c>
      <c r="C296" s="11" t="s">
        <v>478</v>
      </c>
      <c r="D296" s="5">
        <f>B296/SUM($B$2:$B$403)</f>
        <v>0.00338074507955056</v>
      </c>
      <c r="E296" s="5">
        <f>SUMIF($C$2:$C$403,C296,$D$2:$D$403)</f>
        <v>0.00338074507955056</v>
      </c>
      <c r="F296" s="5">
        <f t="shared" si="8"/>
        <v>0</v>
      </c>
      <c r="G296" s="18">
        <f t="shared" si="9"/>
        <v>1.14294372929053e-5</v>
      </c>
    </row>
    <row r="297" spans="1:7">
      <c r="A297" s="16" t="s">
        <v>479</v>
      </c>
      <c r="B297" s="16">
        <v>1307519</v>
      </c>
      <c r="C297" s="11" t="s">
        <v>480</v>
      </c>
      <c r="D297" s="5">
        <f>B297/SUM($B$2:$B$403)</f>
        <v>0.00425227474367758</v>
      </c>
      <c r="E297" s="5">
        <f>SUMIF($C$2:$C$403,C297,$D$2:$D$403)</f>
        <v>0.00425227474367758</v>
      </c>
      <c r="F297" s="5">
        <f t="shared" si="8"/>
        <v>0</v>
      </c>
      <c r="G297" s="18">
        <f t="shared" si="9"/>
        <v>1.80818404957182e-5</v>
      </c>
    </row>
    <row r="298" spans="1:7">
      <c r="A298" s="16" t="s">
        <v>481</v>
      </c>
      <c r="B298" s="16">
        <v>1918573</v>
      </c>
      <c r="C298" s="11" t="s">
        <v>482</v>
      </c>
      <c r="D298" s="5">
        <f>B298/SUM($B$2:$B$403)</f>
        <v>0.00623952654745493</v>
      </c>
      <c r="E298" s="5">
        <f>SUMIF($C$2:$C$403,C298,$D$2:$D$403)</f>
        <v>0.00623952654745493</v>
      </c>
      <c r="F298" s="5">
        <f t="shared" si="8"/>
        <v>0</v>
      </c>
      <c r="G298" s="18">
        <f t="shared" si="9"/>
        <v>3.89316915363948e-5</v>
      </c>
    </row>
    <row r="299" spans="1:7">
      <c r="A299" s="16" t="s">
        <v>483</v>
      </c>
      <c r="B299" s="16">
        <v>2332486</v>
      </c>
      <c r="C299" s="11" t="s">
        <v>484</v>
      </c>
      <c r="D299" s="5">
        <f>B299/SUM($B$2:$B$403)</f>
        <v>0.00758564220312022</v>
      </c>
      <c r="E299" s="5">
        <f>SUMIF($C$2:$C$403,C299,$D$2:$D$403)</f>
        <v>0.00758564220312022</v>
      </c>
      <c r="F299" s="5">
        <f t="shared" si="8"/>
        <v>0</v>
      </c>
      <c r="G299" s="18">
        <f t="shared" si="9"/>
        <v>5.75419676337585e-5</v>
      </c>
    </row>
    <row r="300" spans="1:7">
      <c r="A300" s="16" t="s">
        <v>485</v>
      </c>
      <c r="B300" s="16">
        <v>2273476</v>
      </c>
      <c r="C300" s="11" t="s">
        <v>486</v>
      </c>
      <c r="D300" s="5">
        <f>B300/SUM($B$2:$B$403)</f>
        <v>0.00739373162084614</v>
      </c>
      <c r="E300" s="5">
        <f>SUMIF($C$2:$C$403,C300,$D$2:$D$403)</f>
        <v>0.00739373162084614</v>
      </c>
      <c r="F300" s="5">
        <f t="shared" si="8"/>
        <v>0</v>
      </c>
      <c r="G300" s="18">
        <f t="shared" si="9"/>
        <v>5.46672672811001e-5</v>
      </c>
    </row>
    <row r="301" spans="1:7">
      <c r="A301" s="16" t="s">
        <v>487</v>
      </c>
      <c r="B301" s="16">
        <v>6143</v>
      </c>
      <c r="C301" s="11" t="s">
        <v>488</v>
      </c>
      <c r="D301" s="5">
        <f>B301/SUM($B$2:$B$403)</f>
        <v>1.99780834927916e-5</v>
      </c>
      <c r="E301" s="5">
        <f>SUMIF($C$2:$C$403,C301,$D$2:$D$403)</f>
        <v>1.99780834927916e-5</v>
      </c>
      <c r="F301" s="5">
        <f t="shared" si="8"/>
        <v>0</v>
      </c>
      <c r="G301" s="18">
        <f t="shared" si="9"/>
        <v>3.99123820044952e-10</v>
      </c>
    </row>
    <row r="302" spans="1:7">
      <c r="A302" s="16" t="s">
        <v>489</v>
      </c>
      <c r="B302" s="16">
        <v>1661613</v>
      </c>
      <c r="C302" s="11" t="s">
        <v>490</v>
      </c>
      <c r="D302" s="5">
        <f>B302/SUM($B$2:$B$403)</f>
        <v>0.00540384881111963</v>
      </c>
      <c r="E302" s="5">
        <f>SUMIF($C$2:$C$403,C302,$D$2:$D$403)</f>
        <v>0.00540384881111963</v>
      </c>
      <c r="F302" s="5">
        <f t="shared" si="8"/>
        <v>0</v>
      </c>
      <c r="G302" s="18">
        <f t="shared" si="9"/>
        <v>2.92015819734391e-5</v>
      </c>
    </row>
    <row r="303" spans="1:7">
      <c r="A303" s="16" t="s">
        <v>491</v>
      </c>
      <c r="B303" s="16">
        <v>1321100</v>
      </c>
      <c r="C303" s="11" t="s">
        <v>492</v>
      </c>
      <c r="D303" s="5">
        <f>B303/SUM($B$2:$B$403)</f>
        <v>0.00429644247148412</v>
      </c>
      <c r="E303" s="5">
        <f>SUMIF($C$2:$C$403,C303,$D$2:$D$403)</f>
        <v>0.00429644247148412</v>
      </c>
      <c r="F303" s="5">
        <f t="shared" si="8"/>
        <v>0</v>
      </c>
      <c r="G303" s="18">
        <f t="shared" si="9"/>
        <v>1.84594179107726e-5</v>
      </c>
    </row>
    <row r="304" spans="1:7">
      <c r="A304" s="16" t="s">
        <v>493</v>
      </c>
      <c r="B304" s="16">
        <v>75969</v>
      </c>
      <c r="C304" s="11" t="s">
        <v>494</v>
      </c>
      <c r="D304" s="5">
        <f>B304/SUM($B$2:$B$403)</f>
        <v>0.000247064142090816</v>
      </c>
      <c r="E304" s="5">
        <f>SUMIF($C$2:$C$403,C304,$D$2:$D$403)</f>
        <v>0.000247064142090816</v>
      </c>
      <c r="F304" s="5">
        <f t="shared" si="8"/>
        <v>0</v>
      </c>
      <c r="G304" s="18">
        <f t="shared" si="9"/>
        <v>6.1040690307071e-8</v>
      </c>
    </row>
    <row r="305" spans="1:7">
      <c r="A305" s="16" t="s">
        <v>495</v>
      </c>
      <c r="B305" s="16">
        <v>432269</v>
      </c>
      <c r="C305" s="11" t="s">
        <v>496</v>
      </c>
      <c r="D305" s="5">
        <f>B305/SUM($B$2:$B$403)</f>
        <v>0.00140581249769584</v>
      </c>
      <c r="E305" s="5">
        <f>SUMIF($C$2:$C$403,C305,$D$2:$D$403)</f>
        <v>0.00140581249769584</v>
      </c>
      <c r="F305" s="5">
        <f t="shared" si="8"/>
        <v>0</v>
      </c>
      <c r="G305" s="18">
        <f t="shared" si="9"/>
        <v>1.97630877867781e-6</v>
      </c>
    </row>
    <row r="306" spans="1:7">
      <c r="A306" s="16" t="s">
        <v>497</v>
      </c>
      <c r="B306" s="16">
        <v>558882</v>
      </c>
      <c r="C306" s="11" t="s">
        <v>498</v>
      </c>
      <c r="D306" s="5">
        <f>B306/SUM($B$2:$B$403)</f>
        <v>0.00181757956350616</v>
      </c>
      <c r="E306" s="5">
        <f>SUMIF($C$2:$C$403,C306,$D$2:$D$403)</f>
        <v>0.00181757956350616</v>
      </c>
      <c r="F306" s="5">
        <f t="shared" si="8"/>
        <v>0</v>
      </c>
      <c r="G306" s="18">
        <f t="shared" si="9"/>
        <v>3.30359546967525e-6</v>
      </c>
    </row>
    <row r="307" spans="1:7">
      <c r="A307" s="16" t="s">
        <v>499</v>
      </c>
      <c r="B307" s="16">
        <v>1789752</v>
      </c>
      <c r="C307" s="11" t="s">
        <v>500</v>
      </c>
      <c r="D307" s="5">
        <f>B307/SUM($B$2:$B$403)</f>
        <v>0.0058205786891406</v>
      </c>
      <c r="E307" s="5">
        <f>SUMIF($C$2:$C$403,C307,$D$2:$D$403)</f>
        <v>0.0058205786891406</v>
      </c>
      <c r="F307" s="5">
        <f t="shared" si="8"/>
        <v>0</v>
      </c>
      <c r="G307" s="18">
        <f t="shared" si="9"/>
        <v>3.38791362764778e-5</v>
      </c>
    </row>
    <row r="308" spans="1:7">
      <c r="A308" s="16" t="s">
        <v>501</v>
      </c>
      <c r="B308" s="16">
        <v>319634</v>
      </c>
      <c r="C308" s="11" t="s">
        <v>502</v>
      </c>
      <c r="D308" s="5">
        <f>B308/SUM($B$2:$B$403)</f>
        <v>0.00103950427138775</v>
      </c>
      <c r="E308" s="5">
        <f>SUMIF($C$2:$C$403,C308,$D$2:$D$403)</f>
        <v>0.00103950427138775</v>
      </c>
      <c r="F308" s="5">
        <f t="shared" si="8"/>
        <v>0</v>
      </c>
      <c r="G308" s="18">
        <f t="shared" si="9"/>
        <v>1.08056913023338e-6</v>
      </c>
    </row>
    <row r="309" spans="1:7">
      <c r="A309" s="16" t="s">
        <v>503</v>
      </c>
      <c r="B309" s="16">
        <v>375599</v>
      </c>
      <c r="C309" s="11" t="s">
        <v>504</v>
      </c>
      <c r="D309" s="5">
        <f>B309/SUM($B$2:$B$403)</f>
        <v>0.00122151199443416</v>
      </c>
      <c r="E309" s="5">
        <f>SUMIF($C$2:$C$403,C309,$D$2:$D$403)</f>
        <v>0.00122151199443416</v>
      </c>
      <c r="F309" s="5">
        <f t="shared" si="8"/>
        <v>0</v>
      </c>
      <c r="G309" s="18">
        <f t="shared" si="9"/>
        <v>1.49209155254651e-6</v>
      </c>
    </row>
    <row r="310" spans="1:7">
      <c r="A310" s="16" t="s">
        <v>505</v>
      </c>
      <c r="B310" s="16">
        <v>1529184</v>
      </c>
      <c r="C310" s="11" t="s">
        <v>506</v>
      </c>
      <c r="D310" s="5">
        <f>B310/SUM($B$2:$B$403)</f>
        <v>0.00497316712157594</v>
      </c>
      <c r="E310" s="5">
        <f>SUMIF($C$2:$C$403,C310,$D$2:$D$403)</f>
        <v>0.00497316712157594</v>
      </c>
      <c r="F310" s="5">
        <f t="shared" si="8"/>
        <v>0</v>
      </c>
      <c r="G310" s="18">
        <f t="shared" si="9"/>
        <v>2.47323912191239e-5</v>
      </c>
    </row>
    <row r="311" spans="1:7">
      <c r="A311" s="16" t="s">
        <v>507</v>
      </c>
      <c r="B311" s="16">
        <v>265532</v>
      </c>
      <c r="C311" s="11" t="s">
        <v>508</v>
      </c>
      <c r="D311" s="5">
        <f>B311/SUM($B$2:$B$403)</f>
        <v>0.000863555342016594</v>
      </c>
      <c r="E311" s="5">
        <f>SUMIF($C$2:$C$403,C311,$D$2:$D$403)</f>
        <v>0.000863555342016594</v>
      </c>
      <c r="F311" s="5">
        <f t="shared" si="8"/>
        <v>0</v>
      </c>
      <c r="G311" s="18">
        <f t="shared" si="9"/>
        <v>7.45727828725396e-7</v>
      </c>
    </row>
    <row r="312" spans="1:7">
      <c r="A312" s="16" t="s">
        <v>509</v>
      </c>
      <c r="B312" s="16">
        <v>105177</v>
      </c>
      <c r="C312" s="11" t="s">
        <v>510</v>
      </c>
      <c r="D312" s="5">
        <f>B312/SUM($B$2:$B$403)</f>
        <v>0.000342053538583972</v>
      </c>
      <c r="E312" s="5">
        <f>SUMIF($C$2:$C$403,C312,$D$2:$D$403)</f>
        <v>0.000342053538583972</v>
      </c>
      <c r="F312" s="5">
        <f t="shared" si="8"/>
        <v>0</v>
      </c>
      <c r="G312" s="18">
        <f t="shared" si="9"/>
        <v>1.17000623257817e-7</v>
      </c>
    </row>
    <row r="313" spans="1:7">
      <c r="A313" s="16" t="s">
        <v>511</v>
      </c>
      <c r="B313" s="16">
        <v>498709</v>
      </c>
      <c r="C313" s="11" t="s">
        <v>512</v>
      </c>
      <c r="D313" s="5">
        <f>B313/SUM($B$2:$B$403)</f>
        <v>0.00162188670691952</v>
      </c>
      <c r="E313" s="5">
        <f>SUMIF($C$2:$C$403,C313,$D$2:$D$403)</f>
        <v>0.00162188670691952</v>
      </c>
      <c r="F313" s="5">
        <f t="shared" si="8"/>
        <v>0</v>
      </c>
      <c r="G313" s="18">
        <f t="shared" si="9"/>
        <v>2.63051649008224e-6</v>
      </c>
    </row>
    <row r="314" spans="1:7">
      <c r="A314" s="16" t="s">
        <v>513</v>
      </c>
      <c r="B314" s="16">
        <v>3261442</v>
      </c>
      <c r="C314" s="11" t="s">
        <v>514</v>
      </c>
      <c r="D314" s="5">
        <f>B314/SUM($B$2:$B$403)</f>
        <v>0.0106067655189479</v>
      </c>
      <c r="E314" s="5">
        <f>SUMIF($C$2:$C$403,C314,$D$2:$D$403)</f>
        <v>0.0106067655189479</v>
      </c>
      <c r="F314" s="5">
        <f t="shared" si="8"/>
        <v>0</v>
      </c>
      <c r="G314" s="18">
        <f t="shared" si="9"/>
        <v>0.000112503474773943</v>
      </c>
    </row>
    <row r="315" spans="1:7">
      <c r="A315" s="16" t="s">
        <v>515</v>
      </c>
      <c r="B315" s="16">
        <v>3806174</v>
      </c>
      <c r="C315" s="11" t="s">
        <v>516</v>
      </c>
      <c r="D315" s="5">
        <f>B315/SUM($B$2:$B$403)</f>
        <v>0.0123783268696227</v>
      </c>
      <c r="E315" s="5">
        <f>SUMIF($C$2:$C$403,C315,$D$2:$D$403)</f>
        <v>0.0123783268696227</v>
      </c>
      <c r="F315" s="5">
        <f t="shared" si="8"/>
        <v>0</v>
      </c>
      <c r="G315" s="18">
        <f t="shared" si="9"/>
        <v>0.000153222976091224</v>
      </c>
    </row>
    <row r="316" spans="1:7">
      <c r="A316" s="16" t="s">
        <v>517</v>
      </c>
      <c r="B316" s="16">
        <v>654728</v>
      </c>
      <c r="C316" s="11" t="s">
        <v>518</v>
      </c>
      <c r="D316" s="5">
        <f>B316/SUM($B$2:$B$403)</f>
        <v>0.00212928709898559</v>
      </c>
      <c r="E316" s="5">
        <f>SUMIF($C$2:$C$403,C316,$D$2:$D$403)</f>
        <v>0.00212928709898559</v>
      </c>
      <c r="F316" s="5">
        <f t="shared" si="8"/>
        <v>0</v>
      </c>
      <c r="G316" s="18">
        <f t="shared" si="9"/>
        <v>4.53386354990645e-6</v>
      </c>
    </row>
    <row r="317" spans="1:7">
      <c r="A317" s="16" t="s">
        <v>519</v>
      </c>
      <c r="B317" s="16">
        <v>1124509</v>
      </c>
      <c r="C317" s="11" t="s">
        <v>520</v>
      </c>
      <c r="D317" s="5">
        <f>B317/SUM($B$2:$B$403)</f>
        <v>0.00365709501715702</v>
      </c>
      <c r="E317" s="5">
        <f>SUMIF($C$2:$C$403,C317,$D$2:$D$403)</f>
        <v>0.00365709501715702</v>
      </c>
      <c r="F317" s="5">
        <f t="shared" si="8"/>
        <v>0</v>
      </c>
      <c r="G317" s="18">
        <f t="shared" si="9"/>
        <v>1.33743439645147e-5</v>
      </c>
    </row>
    <row r="318" spans="1:7">
      <c r="A318" s="16" t="s">
        <v>521</v>
      </c>
      <c r="B318" s="16">
        <v>338716</v>
      </c>
      <c r="C318" s="11" t="s">
        <v>522</v>
      </c>
      <c r="D318" s="5">
        <f>B318/SUM($B$2:$B$403)</f>
        <v>0.00110156218921445</v>
      </c>
      <c r="E318" s="5">
        <f>SUMIF($C$2:$C$403,C318,$D$2:$D$403)</f>
        <v>0.00110156218921445</v>
      </c>
      <c r="F318" s="5">
        <f t="shared" si="8"/>
        <v>0</v>
      </c>
      <c r="G318" s="18">
        <f t="shared" si="9"/>
        <v>1.21343925670694e-6</v>
      </c>
    </row>
    <row r="319" spans="1:7">
      <c r="A319" s="16" t="s">
        <v>523</v>
      </c>
      <c r="B319" s="16">
        <v>636664</v>
      </c>
      <c r="C319" s="11" t="s">
        <v>524</v>
      </c>
      <c r="D319" s="5">
        <f>B319/SUM($B$2:$B$403)</f>
        <v>0.00207053989074632</v>
      </c>
      <c r="E319" s="5">
        <f>SUMIF($C$2:$C$403,C319,$D$2:$D$403)</f>
        <v>0.00207053989074632</v>
      </c>
      <c r="F319" s="5">
        <f t="shared" si="8"/>
        <v>0</v>
      </c>
      <c r="G319" s="18">
        <f t="shared" si="9"/>
        <v>4.2871354391718e-6</v>
      </c>
    </row>
    <row r="320" spans="1:7">
      <c r="A320" s="16" t="s">
        <v>525</v>
      </c>
      <c r="B320" s="16">
        <v>765746</v>
      </c>
      <c r="C320" s="11" t="s">
        <v>526</v>
      </c>
      <c r="D320" s="5">
        <f>B320/SUM($B$2:$B$403)</f>
        <v>0.00249033656556588</v>
      </c>
      <c r="E320" s="5">
        <f>SUMIF($C$2:$C$403,C320,$D$2:$D$403)</f>
        <v>0.00249033656556588</v>
      </c>
      <c r="F320" s="5">
        <f t="shared" si="8"/>
        <v>0</v>
      </c>
      <c r="G320" s="18">
        <f t="shared" si="9"/>
        <v>6.20177620979445e-6</v>
      </c>
    </row>
    <row r="321" spans="1:7">
      <c r="A321" s="16" t="s">
        <v>527</v>
      </c>
      <c r="B321" s="16">
        <v>874291</v>
      </c>
      <c r="C321" s="11" t="s">
        <v>528</v>
      </c>
      <c r="D321" s="5">
        <f>B321/SUM($B$2:$B$403)</f>
        <v>0.00284334341445487</v>
      </c>
      <c r="E321" s="5">
        <f>SUMIF($C$2:$C$403,C321,$D$2:$D$403)</f>
        <v>0.00284334341445487</v>
      </c>
      <c r="F321" s="5">
        <f t="shared" si="8"/>
        <v>0</v>
      </c>
      <c r="G321" s="18">
        <f t="shared" si="9"/>
        <v>8.08460177252387e-6</v>
      </c>
    </row>
    <row r="322" spans="1:7">
      <c r="A322" s="16" t="s">
        <v>529</v>
      </c>
      <c r="B322" s="16">
        <v>303688</v>
      </c>
      <c r="C322" s="11" t="s">
        <v>530</v>
      </c>
      <c r="D322" s="5">
        <f>B322/SUM($B$2:$B$403)</f>
        <v>0.000987645160305859</v>
      </c>
      <c r="E322" s="5">
        <f>SUMIF($C$2:$C$403,C322,$D$2:$D$403)</f>
        <v>0.000987645160305859</v>
      </c>
      <c r="F322" s="5">
        <f t="shared" ref="F322:F385" si="10">E322-D322</f>
        <v>0</v>
      </c>
      <c r="G322" s="18">
        <f t="shared" si="9"/>
        <v>9.75442962675586e-7</v>
      </c>
    </row>
    <row r="323" spans="1:7">
      <c r="A323" s="16" t="s">
        <v>531</v>
      </c>
      <c r="B323" s="16">
        <v>2762926</v>
      </c>
      <c r="C323" s="11" t="s">
        <v>532</v>
      </c>
      <c r="D323" s="5">
        <f>B323/SUM($B$2:$B$403)</f>
        <v>0.00898550648093842</v>
      </c>
      <c r="E323" s="5">
        <f>SUMIF($C$2:$C$403,C323,$D$2:$D$403)</f>
        <v>0.00898550648093842</v>
      </c>
      <c r="F323" s="5">
        <f t="shared" si="10"/>
        <v>0</v>
      </c>
      <c r="G323" s="18">
        <f t="shared" ref="G323:G386" si="11">D323*D323</f>
        <v>8.07393267189863e-5</v>
      </c>
    </row>
    <row r="324" spans="1:7">
      <c r="A324" s="16" t="s">
        <v>533</v>
      </c>
      <c r="B324" s="16">
        <v>1086669</v>
      </c>
      <c r="C324" s="11" t="s">
        <v>534</v>
      </c>
      <c r="D324" s="5">
        <f>B324/SUM($B$2:$B$403)</f>
        <v>0.00353403288475148</v>
      </c>
      <c r="E324" s="5">
        <f>SUMIF($C$2:$C$403,C324,$D$2:$D$403)</f>
        <v>0.00353403288475148</v>
      </c>
      <c r="F324" s="5">
        <f t="shared" si="10"/>
        <v>0</v>
      </c>
      <c r="G324" s="18">
        <f t="shared" si="11"/>
        <v>1.24893884305049e-5</v>
      </c>
    </row>
    <row r="325" spans="1:7">
      <c r="A325" s="16" t="s">
        <v>535</v>
      </c>
      <c r="B325" s="16">
        <v>329055</v>
      </c>
      <c r="C325" s="11" t="s">
        <v>536</v>
      </c>
      <c r="D325" s="5">
        <f>B325/SUM($B$2:$B$403)</f>
        <v>0.00107014296983893</v>
      </c>
      <c r="E325" s="5">
        <f>SUMIF($C$2:$C$403,C325,$D$2:$D$403)</f>
        <v>0.00107014296983893</v>
      </c>
      <c r="F325" s="5">
        <f t="shared" si="10"/>
        <v>0</v>
      </c>
      <c r="G325" s="18">
        <f t="shared" si="11"/>
        <v>1.14520597589568e-6</v>
      </c>
    </row>
    <row r="326" spans="1:7">
      <c r="A326" s="16" t="s">
        <v>537</v>
      </c>
      <c r="B326" s="16">
        <v>315818</v>
      </c>
      <c r="C326" s="11" t="s">
        <v>538</v>
      </c>
      <c r="D326" s="5">
        <f>B326/SUM($B$2:$B$403)</f>
        <v>0.00102709398869062</v>
      </c>
      <c r="E326" s="5">
        <f>SUMIF($C$2:$C$403,C326,$D$2:$D$403)</f>
        <v>0.00102709398869062</v>
      </c>
      <c r="F326" s="5">
        <f t="shared" si="10"/>
        <v>0</v>
      </c>
      <c r="G326" s="18">
        <f t="shared" si="11"/>
        <v>1.0549220616044e-6</v>
      </c>
    </row>
    <row r="327" spans="1:7">
      <c r="A327" s="16" t="s">
        <v>539</v>
      </c>
      <c r="B327" s="16">
        <v>1150062</v>
      </c>
      <c r="C327" s="11" t="s">
        <v>540</v>
      </c>
      <c r="D327" s="5">
        <f>B327/SUM($B$2:$B$403)</f>
        <v>0.00374019773040646</v>
      </c>
      <c r="E327" s="5">
        <f>SUMIF($C$2:$C$403,C327,$D$2:$D$403)</f>
        <v>0.00374019773040646</v>
      </c>
      <c r="F327" s="5">
        <f t="shared" si="10"/>
        <v>0</v>
      </c>
      <c r="G327" s="18">
        <f t="shared" si="11"/>
        <v>1.39890790625376e-5</v>
      </c>
    </row>
    <row r="328" spans="1:7">
      <c r="A328" s="16" t="s">
        <v>541</v>
      </c>
      <c r="B328" s="16">
        <v>451786</v>
      </c>
      <c r="C328" s="11" t="s">
        <v>542</v>
      </c>
      <c r="D328" s="5">
        <f>B328/SUM($B$2:$B$403)</f>
        <v>0.00146928510969792</v>
      </c>
      <c r="E328" s="5">
        <f>SUMIF($C$2:$C$403,C328,$D$2:$D$403)</f>
        <v>0.00146928510969792</v>
      </c>
      <c r="F328" s="5">
        <f t="shared" si="10"/>
        <v>0</v>
      </c>
      <c r="G328" s="18">
        <f t="shared" si="11"/>
        <v>2.15879873358004e-6</v>
      </c>
    </row>
    <row r="329" spans="1:7">
      <c r="A329" s="16" t="s">
        <v>543</v>
      </c>
      <c r="B329" s="16">
        <v>1506961</v>
      </c>
      <c r="C329" s="11" t="s">
        <v>544</v>
      </c>
      <c r="D329" s="5">
        <f>B329/SUM($B$2:$B$403)</f>
        <v>0.00490089413615183</v>
      </c>
      <c r="E329" s="5">
        <f>SUMIF($C$2:$C$403,C329,$D$2:$D$403)</f>
        <v>0.00490089413615183</v>
      </c>
      <c r="F329" s="5">
        <f t="shared" si="10"/>
        <v>0</v>
      </c>
      <c r="G329" s="18">
        <f t="shared" si="11"/>
        <v>2.40187633337674e-5</v>
      </c>
    </row>
    <row r="330" spans="1:7">
      <c r="A330" s="16" t="s">
        <v>545</v>
      </c>
      <c r="B330" s="16">
        <v>3508887</v>
      </c>
      <c r="C330" s="11" t="s">
        <v>546</v>
      </c>
      <c r="D330" s="5">
        <f>B330/SUM($B$2:$B$403)</f>
        <v>0.0114114988528034</v>
      </c>
      <c r="E330" s="5">
        <f>SUMIF($C$2:$C$403,C330,$D$2:$D$403)</f>
        <v>0.0114114988528034</v>
      </c>
      <c r="F330" s="5">
        <f t="shared" si="10"/>
        <v>0</v>
      </c>
      <c r="G330" s="18">
        <f t="shared" si="11"/>
        <v>0.000130222306067532</v>
      </c>
    </row>
    <row r="331" spans="1:7">
      <c r="A331" s="16" t="s">
        <v>547</v>
      </c>
      <c r="B331" s="16">
        <v>36542</v>
      </c>
      <c r="C331" s="11" t="s">
        <v>548</v>
      </c>
      <c r="D331" s="5">
        <f>B331/SUM($B$2:$B$403)</f>
        <v>0.000118840815073025</v>
      </c>
      <c r="E331" s="5">
        <f>SUMIF($C$2:$C$403,C331,$D$2:$D$403)</f>
        <v>0.000118840815073025</v>
      </c>
      <c r="F331" s="5">
        <f t="shared" si="10"/>
        <v>0</v>
      </c>
      <c r="G331" s="18">
        <f t="shared" si="11"/>
        <v>1.41231393272208e-8</v>
      </c>
    </row>
    <row r="332" spans="1:7">
      <c r="A332" s="16" t="s">
        <v>549</v>
      </c>
      <c r="B332" s="16">
        <v>237733</v>
      </c>
      <c r="C332" s="11" t="s">
        <v>550</v>
      </c>
      <c r="D332" s="5">
        <f>B332/SUM($B$2:$B$403)</f>
        <v>0.000773148253783465</v>
      </c>
      <c r="E332" s="5">
        <f>SUMIF($C$2:$C$403,C332,$D$2:$D$403)</f>
        <v>0.000773148253783465</v>
      </c>
      <c r="F332" s="5">
        <f t="shared" si="10"/>
        <v>0</v>
      </c>
      <c r="G332" s="18">
        <f t="shared" si="11"/>
        <v>5.97758222328421e-7</v>
      </c>
    </row>
    <row r="333" spans="1:7">
      <c r="A333" s="16" t="s">
        <v>551</v>
      </c>
      <c r="B333" s="16">
        <v>224159</v>
      </c>
      <c r="C333" s="11" t="s">
        <v>552</v>
      </c>
      <c r="D333" s="5">
        <f>B333/SUM($B$2:$B$403)</f>
        <v>0.000729003291170547</v>
      </c>
      <c r="E333" s="5">
        <f>SUMIF($C$2:$C$403,C333,$D$2:$D$403)</f>
        <v>0.000729003291170547</v>
      </c>
      <c r="F333" s="5">
        <f t="shared" si="10"/>
        <v>0</v>
      </c>
      <c r="G333" s="18">
        <f t="shared" si="11"/>
        <v>5.31445798537489e-7</v>
      </c>
    </row>
    <row r="334" spans="1:7">
      <c r="A334" s="16" t="s">
        <v>553</v>
      </c>
      <c r="B334" s="16">
        <v>6668</v>
      </c>
      <c r="C334" s="11" t="s">
        <v>554</v>
      </c>
      <c r="D334" s="5">
        <f>B334/SUM($B$2:$B$403)</f>
        <v>2.16854730148029e-5</v>
      </c>
      <c r="E334" s="5">
        <f>SUMIF($C$2:$C$403,C334,$D$2:$D$403)</f>
        <v>2.16854730148029e-5</v>
      </c>
      <c r="F334" s="5">
        <f t="shared" si="10"/>
        <v>0</v>
      </c>
      <c r="G334" s="18">
        <f t="shared" si="11"/>
        <v>4.70259739875746e-10</v>
      </c>
    </row>
    <row r="335" spans="1:7">
      <c r="A335" s="16" t="s">
        <v>555</v>
      </c>
      <c r="B335" s="16">
        <v>470302</v>
      </c>
      <c r="C335" s="11" t="s">
        <v>556</v>
      </c>
      <c r="D335" s="5">
        <f>B335/SUM($B$2:$B$403)</f>
        <v>0.00152950229901137</v>
      </c>
      <c r="E335" s="5">
        <f>SUMIF($C$2:$C$403,C335,$D$2:$D$403)</f>
        <v>0.00152950229901137</v>
      </c>
      <c r="F335" s="5">
        <f t="shared" si="10"/>
        <v>0</v>
      </c>
      <c r="G335" s="18">
        <f t="shared" si="11"/>
        <v>2.33937728268108e-6</v>
      </c>
    </row>
    <row r="336" spans="1:7">
      <c r="A336" s="16" t="s">
        <v>557</v>
      </c>
      <c r="B336" s="16">
        <v>408115</v>
      </c>
      <c r="C336" s="11" t="s">
        <v>558</v>
      </c>
      <c r="D336" s="5">
        <f>B336/SUM($B$2:$B$403)</f>
        <v>0.00132725957100124</v>
      </c>
      <c r="E336" s="5">
        <f>SUMIF($C$2:$C$403,C336,$D$2:$D$403)</f>
        <v>0.00132725957100124</v>
      </c>
      <c r="F336" s="5">
        <f t="shared" si="10"/>
        <v>0</v>
      </c>
      <c r="G336" s="18">
        <f t="shared" si="11"/>
        <v>1.76161796881441e-6</v>
      </c>
    </row>
    <row r="337" spans="1:7">
      <c r="A337" s="16" t="s">
        <v>559</v>
      </c>
      <c r="B337" s="16">
        <v>1108690</v>
      </c>
      <c r="C337" s="11" t="s">
        <v>560</v>
      </c>
      <c r="D337" s="5">
        <f>B337/SUM($B$2:$B$403)</f>
        <v>0.00360564893173093</v>
      </c>
      <c r="E337" s="5">
        <f>SUMIF($C$2:$C$403,C337,$D$2:$D$403)</f>
        <v>0.00360564893173093</v>
      </c>
      <c r="F337" s="5">
        <f t="shared" si="10"/>
        <v>0</v>
      </c>
      <c r="G337" s="18">
        <f t="shared" si="11"/>
        <v>1.30007042188924e-5</v>
      </c>
    </row>
    <row r="338" spans="1:7">
      <c r="A338" s="16" t="s">
        <v>561</v>
      </c>
      <c r="B338" s="16">
        <v>1320820</v>
      </c>
      <c r="C338" s="11" t="s">
        <v>562</v>
      </c>
      <c r="D338" s="5">
        <f>B338/SUM($B$2:$B$403)</f>
        <v>0.00429553186373905</v>
      </c>
      <c r="E338" s="5">
        <f>SUMIF($C$2:$C$403,C338,$D$2:$D$403)</f>
        <v>0.00429553186373905</v>
      </c>
      <c r="F338" s="5">
        <f t="shared" si="10"/>
        <v>0</v>
      </c>
      <c r="G338" s="18">
        <f t="shared" si="11"/>
        <v>1.84515939923975e-5</v>
      </c>
    </row>
    <row r="339" spans="1:7">
      <c r="A339" s="16" t="s">
        <v>563</v>
      </c>
      <c r="B339" s="16">
        <v>1915764</v>
      </c>
      <c r="C339" s="11" t="s">
        <v>564</v>
      </c>
      <c r="D339" s="5">
        <f>B339/SUM($B$2:$B$403)</f>
        <v>0.00623039120046954</v>
      </c>
      <c r="E339" s="5">
        <f>SUMIF($C$2:$C$403,C339,$D$2:$D$403)</f>
        <v>0.00623039120046954</v>
      </c>
      <c r="F339" s="5">
        <f t="shared" si="10"/>
        <v>0</v>
      </c>
      <c r="G339" s="18">
        <f t="shared" si="11"/>
        <v>3.88177745108883e-5</v>
      </c>
    </row>
    <row r="340" spans="1:7">
      <c r="A340" s="16" t="s">
        <v>565</v>
      </c>
      <c r="B340" s="16">
        <v>10519921</v>
      </c>
      <c r="C340" s="11" t="s">
        <v>566</v>
      </c>
      <c r="D340" s="5">
        <f>B340/SUM($B$2:$B$403)</f>
        <v>0.034212576929118</v>
      </c>
      <c r="E340" s="5">
        <f>SUMIF($C$2:$C$403,C340,$D$2:$D$403)</f>
        <v>0.034212576929118</v>
      </c>
      <c r="F340" s="5">
        <f t="shared" si="10"/>
        <v>0</v>
      </c>
      <c r="G340" s="18">
        <f t="shared" si="11"/>
        <v>0.00117050042013081</v>
      </c>
    </row>
    <row r="341" spans="1:7">
      <c r="A341" s="16" t="s">
        <v>567</v>
      </c>
      <c r="B341" s="16">
        <v>1317037</v>
      </c>
      <c r="C341" s="11" t="s">
        <v>568</v>
      </c>
      <c r="D341" s="5">
        <f>B341/SUM($B$2:$B$403)</f>
        <v>0.00428322890266902</v>
      </c>
      <c r="E341" s="5">
        <f>SUMIF($C$2:$C$403,C341,$D$2:$D$403)</f>
        <v>0.00428322890266902</v>
      </c>
      <c r="F341" s="5">
        <f t="shared" si="10"/>
        <v>0</v>
      </c>
      <c r="G341" s="18">
        <f t="shared" si="11"/>
        <v>1.83460498326592e-5</v>
      </c>
    </row>
    <row r="342" spans="1:7">
      <c r="A342" s="16" t="s">
        <v>569</v>
      </c>
      <c r="B342" s="16">
        <v>1499150</v>
      </c>
      <c r="C342" s="11" t="s">
        <v>570</v>
      </c>
      <c r="D342" s="5">
        <f>B342/SUM($B$2:$B$403)</f>
        <v>0.00487549143223482</v>
      </c>
      <c r="E342" s="5">
        <f>SUMIF($C$2:$C$403,C342,$D$2:$D$403)</f>
        <v>0.00487549143223482</v>
      </c>
      <c r="F342" s="5">
        <f t="shared" si="10"/>
        <v>0</v>
      </c>
      <c r="G342" s="18">
        <f t="shared" si="11"/>
        <v>2.37704167057952e-5</v>
      </c>
    </row>
    <row r="343" spans="1:7">
      <c r="A343" s="16" t="s">
        <v>571</v>
      </c>
      <c r="B343" s="16">
        <v>5288</v>
      </c>
      <c r="C343" s="11" t="s">
        <v>572</v>
      </c>
      <c r="D343" s="5">
        <f>B343/SUM($B$2:$B$403)</f>
        <v>1.71974776998017e-5</v>
      </c>
      <c r="E343" s="5">
        <f>SUMIF($C$2:$C$403,C343,$D$2:$D$403)</f>
        <v>1.71974776998017e-5</v>
      </c>
      <c r="F343" s="5">
        <f t="shared" si="10"/>
        <v>0</v>
      </c>
      <c r="G343" s="18">
        <f t="shared" si="11"/>
        <v>2.95753239235177e-10</v>
      </c>
    </row>
    <row r="344" spans="1:7">
      <c r="A344" s="16" t="s">
        <v>573</v>
      </c>
      <c r="B344" s="16">
        <v>143764</v>
      </c>
      <c r="C344" s="11" t="s">
        <v>574</v>
      </c>
      <c r="D344" s="5">
        <f>B344/SUM($B$2:$B$403)</f>
        <v>0.000467545042366546</v>
      </c>
      <c r="E344" s="5">
        <f>SUMIF($C$2:$C$403,C344,$D$2:$D$403)</f>
        <v>0.000467545042366546</v>
      </c>
      <c r="F344" s="5">
        <f t="shared" si="10"/>
        <v>0</v>
      </c>
      <c r="G344" s="18">
        <f t="shared" si="11"/>
        <v>2.18598366641535e-7</v>
      </c>
    </row>
    <row r="345" spans="1:7">
      <c r="A345" s="16" t="s">
        <v>575</v>
      </c>
      <c r="B345" s="16">
        <v>593231</v>
      </c>
      <c r="C345" s="11" t="s">
        <v>576</v>
      </c>
      <c r="D345" s="5">
        <f>B345/SUM($B$2:$B$403)</f>
        <v>0.00192928836863296</v>
      </c>
      <c r="E345" s="5">
        <f>SUMIF($C$2:$C$403,C345,$D$2:$D$403)</f>
        <v>0.00192928836863296</v>
      </c>
      <c r="F345" s="5">
        <f t="shared" si="10"/>
        <v>0</v>
      </c>
      <c r="G345" s="18">
        <f t="shared" si="11"/>
        <v>3.72215360934241e-6</v>
      </c>
    </row>
    <row r="346" spans="1:7">
      <c r="A346" s="16" t="s">
        <v>577</v>
      </c>
      <c r="B346" s="16">
        <v>1201137</v>
      </c>
      <c r="C346" s="11" t="s">
        <v>578</v>
      </c>
      <c r="D346" s="5">
        <f>B346/SUM($B$2:$B$403)</f>
        <v>0.00390630233961928</v>
      </c>
      <c r="E346" s="5">
        <f>SUMIF($C$2:$C$403,C346,$D$2:$D$403)</f>
        <v>0.00390630233961928</v>
      </c>
      <c r="F346" s="5">
        <f t="shared" si="10"/>
        <v>0</v>
      </c>
      <c r="G346" s="18">
        <f t="shared" si="11"/>
        <v>1.5259197968515e-5</v>
      </c>
    </row>
    <row r="347" spans="1:7">
      <c r="A347" s="16" t="s">
        <v>579</v>
      </c>
      <c r="B347" s="16">
        <v>1627242</v>
      </c>
      <c r="C347" s="11" t="s">
        <v>580</v>
      </c>
      <c r="D347" s="5">
        <f>B347/SUM($B$2:$B$403)</f>
        <v>0.00529206845824144</v>
      </c>
      <c r="E347" s="5">
        <f>SUMIF($C$2:$C$403,C347,$D$2:$D$403)</f>
        <v>0.00529206845824144</v>
      </c>
      <c r="F347" s="5">
        <f t="shared" si="10"/>
        <v>0</v>
      </c>
      <c r="G347" s="18">
        <f t="shared" si="11"/>
        <v>2.80059885667139e-5</v>
      </c>
    </row>
    <row r="348" spans="1:7">
      <c r="A348" s="16" t="s">
        <v>581</v>
      </c>
      <c r="B348" s="16">
        <v>209449</v>
      </c>
      <c r="C348" s="11" t="s">
        <v>582</v>
      </c>
      <c r="D348" s="5">
        <f>B348/SUM($B$2:$B$403)</f>
        <v>0.000681163862849049</v>
      </c>
      <c r="E348" s="5">
        <f>SUMIF($C$2:$C$403,C348,$D$2:$D$403)</f>
        <v>0.000681163862849049</v>
      </c>
      <c r="F348" s="5">
        <f t="shared" si="10"/>
        <v>0</v>
      </c>
      <c r="G348" s="18">
        <f t="shared" si="11"/>
        <v>4.63984208051438e-7</v>
      </c>
    </row>
    <row r="349" spans="1:7">
      <c r="A349" s="16" t="s">
        <v>583</v>
      </c>
      <c r="B349" s="16">
        <v>29094</v>
      </c>
      <c r="C349" s="11" t="s">
        <v>584</v>
      </c>
      <c r="D349" s="5">
        <f>B349/SUM($B$2:$B$403)</f>
        <v>9.46186490540906e-5</v>
      </c>
      <c r="E349" s="5">
        <f>SUMIF($C$2:$C$403,C349,$D$2:$D$403)</f>
        <v>9.46186490540906e-5</v>
      </c>
      <c r="F349" s="5">
        <f t="shared" si="10"/>
        <v>0</v>
      </c>
      <c r="G349" s="18">
        <f t="shared" si="11"/>
        <v>8.95268874882116e-9</v>
      </c>
    </row>
    <row r="350" spans="1:7">
      <c r="A350" s="16" t="s">
        <v>585</v>
      </c>
      <c r="B350" s="16">
        <v>345439</v>
      </c>
      <c r="C350" s="11" t="s">
        <v>586</v>
      </c>
      <c r="D350" s="5">
        <f>B350/SUM($B$2:$B$403)</f>
        <v>0.00112342653160775</v>
      </c>
      <c r="E350" s="5">
        <f>SUMIF($C$2:$C$403,C350,$D$2:$D$403)</f>
        <v>0.00112342653160775</v>
      </c>
      <c r="F350" s="5">
        <f t="shared" si="10"/>
        <v>0</v>
      </c>
      <c r="G350" s="18">
        <f t="shared" si="11"/>
        <v>1.26208717192023e-6</v>
      </c>
    </row>
    <row r="351" spans="1:7">
      <c r="A351" s="16" t="s">
        <v>587</v>
      </c>
      <c r="B351" s="16">
        <v>715502</v>
      </c>
      <c r="C351" s="11" t="s">
        <v>588</v>
      </c>
      <c r="D351" s="5">
        <f>B351/SUM($B$2:$B$403)</f>
        <v>0.00232693451005362</v>
      </c>
      <c r="E351" s="5">
        <f>SUMIF($C$2:$C$403,C351,$D$2:$D$403)</f>
        <v>0.00232693451005362</v>
      </c>
      <c r="F351" s="5">
        <f t="shared" si="10"/>
        <v>0</v>
      </c>
      <c r="G351" s="18">
        <f t="shared" si="11"/>
        <v>5.41462421407846e-6</v>
      </c>
    </row>
    <row r="352" spans="1:7">
      <c r="A352" s="16" t="s">
        <v>589</v>
      </c>
      <c r="B352" s="16">
        <v>3027330</v>
      </c>
      <c r="C352" s="11" t="s">
        <v>590</v>
      </c>
      <c r="D352" s="5">
        <f>B352/SUM($B$2:$B$403)</f>
        <v>0.00984539337461058</v>
      </c>
      <c r="E352" s="5">
        <f>SUMIF($C$2:$C$403,C352,$D$2:$D$403)</f>
        <v>0.00984539337461058</v>
      </c>
      <c r="F352" s="5">
        <f t="shared" si="10"/>
        <v>0</v>
      </c>
      <c r="G352" s="18">
        <f t="shared" si="11"/>
        <v>9.69317707008258e-5</v>
      </c>
    </row>
    <row r="353" spans="1:7">
      <c r="A353" s="16" t="s">
        <v>591</v>
      </c>
      <c r="B353" s="16">
        <v>610724</v>
      </c>
      <c r="C353" s="11" t="s">
        <v>592</v>
      </c>
      <c r="D353" s="5">
        <f>B353/SUM($B$2:$B$403)</f>
        <v>0.00198617858750637</v>
      </c>
      <c r="E353" s="5">
        <f>SUMIF($C$2:$C$403,C353,$D$2:$D$403)</f>
        <v>0.00198617858750637</v>
      </c>
      <c r="F353" s="5">
        <f t="shared" si="10"/>
        <v>0</v>
      </c>
      <c r="G353" s="18">
        <f t="shared" si="11"/>
        <v>3.94490538146881e-6</v>
      </c>
    </row>
    <row r="354" spans="1:7">
      <c r="A354" s="16" t="s">
        <v>593</v>
      </c>
      <c r="B354" s="16">
        <v>732059</v>
      </c>
      <c r="C354" s="11" t="s">
        <v>594</v>
      </c>
      <c r="D354" s="5">
        <f>B354/SUM($B$2:$B$403)</f>
        <v>0.00238078069732208</v>
      </c>
      <c r="E354" s="5">
        <f>SUMIF($C$2:$C$403,C354,$D$2:$D$403)</f>
        <v>0.00238078069732208</v>
      </c>
      <c r="F354" s="5">
        <f t="shared" si="10"/>
        <v>0</v>
      </c>
      <c r="G354" s="18">
        <f t="shared" si="11"/>
        <v>5.6681167287414e-6</v>
      </c>
    </row>
    <row r="355" spans="1:7">
      <c r="A355" s="16" t="s">
        <v>595</v>
      </c>
      <c r="B355" s="16">
        <v>1847431</v>
      </c>
      <c r="C355" s="11" t="s">
        <v>596</v>
      </c>
      <c r="D355" s="5">
        <f>B355/SUM($B$2:$B$403)</f>
        <v>0.00600816063245506</v>
      </c>
      <c r="E355" s="5">
        <f>SUMIF($C$2:$C$403,C355,$D$2:$D$403)</f>
        <v>0.00600816063245506</v>
      </c>
      <c r="F355" s="5">
        <f t="shared" si="10"/>
        <v>0</v>
      </c>
      <c r="G355" s="18">
        <f t="shared" si="11"/>
        <v>3.60979941853828e-5</v>
      </c>
    </row>
    <row r="356" spans="1:7">
      <c r="A356" s="16" t="s">
        <v>597</v>
      </c>
      <c r="B356" s="16">
        <v>931711</v>
      </c>
      <c r="C356" s="11" t="s">
        <v>598</v>
      </c>
      <c r="D356" s="5">
        <f>B356/SUM($B$2:$B$403)</f>
        <v>0.00303008304560513</v>
      </c>
      <c r="E356" s="5">
        <f>SUMIF($C$2:$C$403,C356,$D$2:$D$403)</f>
        <v>0.00303008304560513</v>
      </c>
      <c r="F356" s="5">
        <f t="shared" si="10"/>
        <v>0</v>
      </c>
      <c r="G356" s="18">
        <f t="shared" si="11"/>
        <v>9.18140326326369e-6</v>
      </c>
    </row>
    <row r="357" spans="1:7">
      <c r="A357" s="16" t="s">
        <v>599</v>
      </c>
      <c r="B357" s="16">
        <v>1932126</v>
      </c>
      <c r="C357" s="11" t="s">
        <v>600</v>
      </c>
      <c r="D357" s="5">
        <f>B357/SUM($B$2:$B$403)</f>
        <v>0.00628360321448697</v>
      </c>
      <c r="E357" s="5">
        <f>SUMIF($C$2:$C$403,C357,$D$2:$D$403)</f>
        <v>0.00628360321448697</v>
      </c>
      <c r="F357" s="5">
        <f t="shared" si="10"/>
        <v>0</v>
      </c>
      <c r="G357" s="18">
        <f t="shared" si="11"/>
        <v>3.9483669357111e-5</v>
      </c>
    </row>
    <row r="358" spans="1:7">
      <c r="A358" s="16" t="s">
        <v>601</v>
      </c>
      <c r="B358" s="16">
        <v>2318846</v>
      </c>
      <c r="C358" s="11" t="s">
        <v>602</v>
      </c>
      <c r="D358" s="5">
        <f>B358/SUM($B$2:$B$403)</f>
        <v>0.0075412825972531</v>
      </c>
      <c r="E358" s="5">
        <f>SUMIF($C$2:$C$403,C358,$D$2:$D$403)</f>
        <v>0.0075412825972531</v>
      </c>
      <c r="F358" s="5">
        <f t="shared" si="10"/>
        <v>0</v>
      </c>
      <c r="G358" s="18">
        <f t="shared" si="11"/>
        <v>5.68709432116325e-5</v>
      </c>
    </row>
    <row r="359" spans="1:7">
      <c r="A359" s="16" t="s">
        <v>603</v>
      </c>
      <c r="B359" s="16">
        <v>1417531</v>
      </c>
      <c r="C359" s="11" t="s">
        <v>604</v>
      </c>
      <c r="D359" s="5">
        <f>B359/SUM($B$2:$B$403)</f>
        <v>0.00461005252671665</v>
      </c>
      <c r="E359" s="5">
        <f>SUMIF($C$2:$C$403,C359,$D$2:$D$403)</f>
        <v>0.00461005252671665</v>
      </c>
      <c r="F359" s="5">
        <f t="shared" si="10"/>
        <v>0</v>
      </c>
      <c r="G359" s="18">
        <f t="shared" si="11"/>
        <v>2.12525842990865e-5</v>
      </c>
    </row>
    <row r="360" spans="1:7">
      <c r="A360" s="16" t="s">
        <v>605</v>
      </c>
      <c r="B360" s="16">
        <v>1019414</v>
      </c>
      <c r="C360" s="11" t="s">
        <v>606</v>
      </c>
      <c r="D360" s="5">
        <f>B360/SUM($B$2:$B$403)</f>
        <v>0.00331530815655553</v>
      </c>
      <c r="E360" s="5">
        <f>SUMIF($C$2:$C$403,C360,$D$2:$D$403)</f>
        <v>0.00331530815655553</v>
      </c>
      <c r="F360" s="5">
        <f t="shared" si="10"/>
        <v>0</v>
      </c>
      <c r="G360" s="18">
        <f t="shared" si="11"/>
        <v>1.09912681729237e-5</v>
      </c>
    </row>
    <row r="361" spans="1:7">
      <c r="A361" s="16" t="s">
        <v>607</v>
      </c>
      <c r="B361" s="16">
        <v>1697685</v>
      </c>
      <c r="C361" s="11" t="s">
        <v>608</v>
      </c>
      <c r="D361" s="5">
        <f>B361/SUM($B$2:$B$403)</f>
        <v>0.00552116110604914</v>
      </c>
      <c r="E361" s="5">
        <f>SUMIF($C$2:$C$403,C361,$D$2:$D$403)</f>
        <v>0.00552116110604914</v>
      </c>
      <c r="F361" s="5">
        <f t="shared" si="10"/>
        <v>0</v>
      </c>
      <c r="G361" s="18">
        <f t="shared" si="11"/>
        <v>3.04832199589498e-5</v>
      </c>
    </row>
    <row r="362" spans="1:7">
      <c r="A362" s="16" t="s">
        <v>609</v>
      </c>
      <c r="B362" s="16">
        <v>2165222</v>
      </c>
      <c r="C362" s="11" t="s">
        <v>610</v>
      </c>
      <c r="D362" s="5">
        <f>B362/SUM($B$2:$B$403)</f>
        <v>0.00704167115357792</v>
      </c>
      <c r="E362" s="5">
        <f>SUMIF($C$2:$C$403,C362,$D$2:$D$403)</f>
        <v>0.00704167115357792</v>
      </c>
      <c r="F362" s="5">
        <f t="shared" si="10"/>
        <v>0</v>
      </c>
      <c r="G362" s="18">
        <f t="shared" si="11"/>
        <v>4.95851326351315e-5</v>
      </c>
    </row>
    <row r="363" spans="1:7">
      <c r="A363" s="16" t="s">
        <v>611</v>
      </c>
      <c r="B363" s="16">
        <v>124129</v>
      </c>
      <c r="C363" s="11" t="s">
        <v>612</v>
      </c>
      <c r="D363" s="5">
        <f>B363/SUM($B$2:$B$403)</f>
        <v>0.000403688674243322</v>
      </c>
      <c r="E363" s="5">
        <f>SUMIF($C$2:$C$403,C363,$D$2:$D$403)</f>
        <v>0.000403688674243322</v>
      </c>
      <c r="F363" s="5">
        <f t="shared" si="10"/>
        <v>0</v>
      </c>
      <c r="G363" s="18">
        <f t="shared" si="11"/>
        <v>1.62964545712331e-7</v>
      </c>
    </row>
    <row r="364" spans="1:7">
      <c r="A364" s="16" t="s">
        <v>613</v>
      </c>
      <c r="B364" s="16">
        <v>221318</v>
      </c>
      <c r="C364" s="11" t="s">
        <v>614</v>
      </c>
      <c r="D364" s="5">
        <f>B364/SUM($B$2:$B$403)</f>
        <v>0.000719763874728577</v>
      </c>
      <c r="E364" s="5">
        <f>SUMIF($C$2:$C$403,C364,$D$2:$D$403)</f>
        <v>0.000719763874728577</v>
      </c>
      <c r="F364" s="5">
        <f t="shared" si="10"/>
        <v>0</v>
      </c>
      <c r="G364" s="18">
        <f t="shared" si="11"/>
        <v>5.18060035364295e-7</v>
      </c>
    </row>
    <row r="365" spans="1:7">
      <c r="A365" s="16" t="s">
        <v>615</v>
      </c>
      <c r="B365" s="16">
        <v>845164</v>
      </c>
      <c r="C365" s="11" t="s">
        <v>616</v>
      </c>
      <c r="D365" s="5">
        <f>B365/SUM($B$2:$B$403)</f>
        <v>0.00274861744377368</v>
      </c>
      <c r="E365" s="5">
        <f>SUMIF($C$2:$C$403,C365,$D$2:$D$403)</f>
        <v>0.00274861744377368</v>
      </c>
      <c r="F365" s="5">
        <f t="shared" si="10"/>
        <v>0</v>
      </c>
      <c r="G365" s="18">
        <f t="shared" si="11"/>
        <v>7.55489785221696e-6</v>
      </c>
    </row>
    <row r="366" spans="1:7">
      <c r="A366" s="16" t="s">
        <v>617</v>
      </c>
      <c r="B366" s="16">
        <v>350471</v>
      </c>
      <c r="C366" s="11" t="s">
        <v>618</v>
      </c>
      <c r="D366" s="5">
        <f>B366/SUM($B$2:$B$403)</f>
        <v>0.00113979145365492</v>
      </c>
      <c r="E366" s="5">
        <f>SUMIF($C$2:$C$403,C366,$D$2:$D$403)</f>
        <v>0.00113979145365492</v>
      </c>
      <c r="F366" s="5">
        <f t="shared" si="10"/>
        <v>0</v>
      </c>
      <c r="G366" s="18">
        <f t="shared" si="11"/>
        <v>1.29912455782479e-6</v>
      </c>
    </row>
    <row r="367" spans="1:7">
      <c r="A367" s="16" t="s">
        <v>619</v>
      </c>
      <c r="B367" s="16">
        <v>998419</v>
      </c>
      <c r="C367" s="11" t="s">
        <v>620</v>
      </c>
      <c r="D367" s="5">
        <f>B367/SUM($B$2:$B$403)</f>
        <v>0.00324702883652767</v>
      </c>
      <c r="E367" s="5">
        <f>SUMIF($C$2:$C$403,C367,$D$2:$D$403)</f>
        <v>0.00324702883652767</v>
      </c>
      <c r="F367" s="5">
        <f t="shared" si="10"/>
        <v>0</v>
      </c>
      <c r="G367" s="18">
        <f t="shared" si="11"/>
        <v>1.05431962652422e-5</v>
      </c>
    </row>
    <row r="368" spans="1:7">
      <c r="A368" s="16" t="s">
        <v>621</v>
      </c>
      <c r="B368" s="16">
        <v>350632</v>
      </c>
      <c r="C368" s="11" t="s">
        <v>622</v>
      </c>
      <c r="D368" s="5">
        <f>B368/SUM($B$2:$B$403)</f>
        <v>0.00114031505310833</v>
      </c>
      <c r="E368" s="5">
        <f>SUMIF($C$2:$C$403,C368,$D$2:$D$403)</f>
        <v>0.00114031505310833</v>
      </c>
      <c r="F368" s="5">
        <f t="shared" si="10"/>
        <v>0</v>
      </c>
      <c r="G368" s="18">
        <f t="shared" si="11"/>
        <v>1.30031842034546e-6</v>
      </c>
    </row>
    <row r="369" spans="1:7">
      <c r="A369" s="16" t="s">
        <v>623</v>
      </c>
      <c r="B369" s="16">
        <v>493298</v>
      </c>
      <c r="C369" s="11" t="s">
        <v>624</v>
      </c>
      <c r="D369" s="5">
        <f>B369/SUM($B$2:$B$403)</f>
        <v>0.00160428921224599</v>
      </c>
      <c r="E369" s="5">
        <f>SUMIF($C$2:$C$403,C369,$D$2:$D$403)</f>
        <v>0.00160428921224599</v>
      </c>
      <c r="F369" s="5">
        <f t="shared" si="10"/>
        <v>0</v>
      </c>
      <c r="G369" s="18">
        <f t="shared" si="11"/>
        <v>2.57374387652885e-6</v>
      </c>
    </row>
    <row r="370" spans="1:7">
      <c r="A370" s="16" t="s">
        <v>625</v>
      </c>
      <c r="B370" s="16">
        <v>1278355</v>
      </c>
      <c r="C370" s="11" t="s">
        <v>626</v>
      </c>
      <c r="D370" s="5">
        <f>B370/SUM($B$2:$B$403)</f>
        <v>0.00415742844268722</v>
      </c>
      <c r="E370" s="5">
        <f>SUMIF($C$2:$C$403,C370,$D$2:$D$403)</f>
        <v>0.00415742844268722</v>
      </c>
      <c r="F370" s="5">
        <f t="shared" si="10"/>
        <v>0</v>
      </c>
      <c r="G370" s="18">
        <f t="shared" si="11"/>
        <v>1.72842112560647e-5</v>
      </c>
    </row>
    <row r="371" spans="1:7">
      <c r="A371" s="16" t="s">
        <v>627</v>
      </c>
      <c r="B371" s="16">
        <v>1011614</v>
      </c>
      <c r="C371" s="11" t="s">
        <v>628</v>
      </c>
      <c r="D371" s="5">
        <f>B371/SUM($B$2:$B$403)</f>
        <v>0.00328994122651422</v>
      </c>
      <c r="E371" s="5">
        <f>SUMIF($C$2:$C$403,C371,$D$2:$D$403)</f>
        <v>0.00328994122651422</v>
      </c>
      <c r="F371" s="5">
        <f t="shared" si="10"/>
        <v>0</v>
      </c>
      <c r="G371" s="18">
        <f t="shared" si="11"/>
        <v>1.08237132739179e-5</v>
      </c>
    </row>
    <row r="372" spans="1:7">
      <c r="A372" s="16" t="s">
        <v>629</v>
      </c>
      <c r="B372" s="16">
        <v>1499898</v>
      </c>
      <c r="C372" s="11" t="s">
        <v>630</v>
      </c>
      <c r="D372" s="5">
        <f>B372/SUM($B$2:$B$403)</f>
        <v>0.00487792405578237</v>
      </c>
      <c r="E372" s="5">
        <f>SUMIF($C$2:$C$403,C372,$D$2:$D$403)</f>
        <v>0.00487792405578237</v>
      </c>
      <c r="F372" s="5">
        <f t="shared" si="10"/>
        <v>0</v>
      </c>
      <c r="G372" s="18">
        <f t="shared" si="11"/>
        <v>2.37941430939804e-5</v>
      </c>
    </row>
    <row r="373" spans="1:7">
      <c r="A373" s="16" t="s">
        <v>631</v>
      </c>
      <c r="B373" s="16">
        <v>2223200</v>
      </c>
      <c r="C373" s="11" t="s">
        <v>632</v>
      </c>
      <c r="D373" s="5">
        <f>B373/SUM($B$2:$B$403)</f>
        <v>0.0072302254958773</v>
      </c>
      <c r="E373" s="5">
        <f>SUMIF($C$2:$C$403,C373,$D$2:$D$403)</f>
        <v>0.0072302254958773</v>
      </c>
      <c r="F373" s="5">
        <f t="shared" si="10"/>
        <v>0</v>
      </c>
      <c r="G373" s="18">
        <f t="shared" si="11"/>
        <v>5.22761607212342e-5</v>
      </c>
    </row>
    <row r="374" spans="1:7">
      <c r="A374" s="16" t="s">
        <v>633</v>
      </c>
      <c r="B374" s="16">
        <v>8560380</v>
      </c>
      <c r="C374" s="11" t="s">
        <v>634</v>
      </c>
      <c r="D374" s="5">
        <f>B374/SUM($B$2:$B$403)</f>
        <v>0.0278398154598768</v>
      </c>
      <c r="E374" s="5">
        <f>SUMIF($C$2:$C$403,C374,$D$2:$D$403)</f>
        <v>0.0278398154598768</v>
      </c>
      <c r="F374" s="5">
        <f t="shared" si="10"/>
        <v>0</v>
      </c>
      <c r="G374" s="18">
        <f t="shared" si="11"/>
        <v>0.000775055324839996</v>
      </c>
    </row>
    <row r="375" spans="1:7">
      <c r="A375" s="16" t="s">
        <v>635</v>
      </c>
      <c r="B375" s="16">
        <v>1047274</v>
      </c>
      <c r="C375" s="11" t="s">
        <v>636</v>
      </c>
      <c r="D375" s="5">
        <f>B375/SUM($B$2:$B$403)</f>
        <v>0.00340591362719027</v>
      </c>
      <c r="E375" s="5">
        <f>SUMIF($C$2:$C$403,C375,$D$2:$D$403)</f>
        <v>0.00340591362719027</v>
      </c>
      <c r="F375" s="5">
        <f t="shared" si="10"/>
        <v>0</v>
      </c>
      <c r="G375" s="18">
        <f t="shared" si="11"/>
        <v>1.16002476358804e-5</v>
      </c>
    </row>
    <row r="376" spans="1:7">
      <c r="A376" s="16" t="s">
        <v>637</v>
      </c>
      <c r="B376" s="16">
        <v>1101740</v>
      </c>
      <c r="C376" s="11" t="s">
        <v>638</v>
      </c>
      <c r="D376" s="5">
        <f>B376/SUM($B$2:$B$403)</f>
        <v>0.00358304634663002</v>
      </c>
      <c r="E376" s="5">
        <f>SUMIF($C$2:$C$403,C376,$D$2:$D$403)</f>
        <v>0.00358304634663002</v>
      </c>
      <c r="F376" s="5">
        <f t="shared" si="10"/>
        <v>0</v>
      </c>
      <c r="G376" s="18">
        <f t="shared" si="11"/>
        <v>1.28382211220987e-5</v>
      </c>
    </row>
    <row r="377" spans="1:7">
      <c r="A377" s="16" t="s">
        <v>639</v>
      </c>
      <c r="B377" s="16">
        <v>935706</v>
      </c>
      <c r="C377" s="11" t="s">
        <v>640</v>
      </c>
      <c r="D377" s="5">
        <f>B377/SUM($B$2:$B$403)</f>
        <v>0.00304307546682501</v>
      </c>
      <c r="E377" s="5">
        <f>SUMIF($C$2:$C$403,C377,$D$2:$D$403)</f>
        <v>0.00304307546682501</v>
      </c>
      <c r="F377" s="5">
        <f t="shared" si="10"/>
        <v>0</v>
      </c>
      <c r="G377" s="18">
        <f t="shared" si="11"/>
        <v>9.26030829679226e-6</v>
      </c>
    </row>
    <row r="378" spans="1:7">
      <c r="A378" s="16" t="s">
        <v>641</v>
      </c>
      <c r="B378" s="16">
        <v>4032007</v>
      </c>
      <c r="C378" s="11" t="s">
        <v>642</v>
      </c>
      <c r="D378" s="5">
        <f>B378/SUM($B$2:$B$403)</f>
        <v>0.0131127742942406</v>
      </c>
      <c r="E378" s="5">
        <f>SUMIF($C$2:$C$403,C378,$D$2:$D$403)</f>
        <v>0.0131127742942406</v>
      </c>
      <c r="F378" s="5">
        <f t="shared" si="10"/>
        <v>0</v>
      </c>
      <c r="G378" s="18">
        <f t="shared" si="11"/>
        <v>0.000171944849691698</v>
      </c>
    </row>
    <row r="379" spans="1:7">
      <c r="A379" s="16" t="s">
        <v>643</v>
      </c>
      <c r="B379" s="16">
        <v>2636015</v>
      </c>
      <c r="C379" s="11" t="s">
        <v>644</v>
      </c>
      <c r="D379" s="5">
        <f>B379/SUM($B$2:$B$403)</f>
        <v>0.00857277026831369</v>
      </c>
      <c r="E379" s="5">
        <f>SUMIF($C$2:$C$403,C379,$D$2:$D$403)</f>
        <v>0.00857277026831369</v>
      </c>
      <c r="F379" s="5">
        <f t="shared" si="10"/>
        <v>0</v>
      </c>
      <c r="G379" s="18">
        <f t="shared" si="11"/>
        <v>7.34923900732833e-5</v>
      </c>
    </row>
    <row r="380" spans="1:7">
      <c r="A380" s="16" t="s">
        <v>645</v>
      </c>
      <c r="B380" s="16">
        <v>989176</v>
      </c>
      <c r="C380" s="11" t="s">
        <v>646</v>
      </c>
      <c r="D380" s="5">
        <f>B380/SUM($B$2:$B$403)</f>
        <v>0.00321696902442872</v>
      </c>
      <c r="E380" s="5">
        <f>SUMIF($C$2:$C$403,C380,$D$2:$D$403)</f>
        <v>0.00321696902442872</v>
      </c>
      <c r="F380" s="5">
        <f t="shared" si="10"/>
        <v>0</v>
      </c>
      <c r="G380" s="18">
        <f t="shared" si="11"/>
        <v>1.03488897041339e-5</v>
      </c>
    </row>
    <row r="381" spans="1:7">
      <c r="A381" s="16" t="s">
        <v>647</v>
      </c>
      <c r="B381" s="16">
        <v>406850</v>
      </c>
      <c r="C381" s="11" t="s">
        <v>648</v>
      </c>
      <c r="D381" s="5">
        <f>B381/SUM($B$2:$B$403)</f>
        <v>0.00132314557529583</v>
      </c>
      <c r="E381" s="5">
        <f>SUMIF($C$2:$C$403,C381,$D$2:$D$403)</f>
        <v>0.00132314557529583</v>
      </c>
      <c r="F381" s="5">
        <f t="shared" si="10"/>
        <v>0</v>
      </c>
      <c r="G381" s="18">
        <f t="shared" si="11"/>
        <v>1.75071421342492e-6</v>
      </c>
    </row>
    <row r="382" spans="1:7">
      <c r="A382" s="16" t="s">
        <v>649</v>
      </c>
      <c r="B382" s="16">
        <v>3284695</v>
      </c>
      <c r="C382" s="11" t="s">
        <v>650</v>
      </c>
      <c r="D382" s="5">
        <f>B382/SUM($B$2:$B$403)</f>
        <v>0.0106823882400057</v>
      </c>
      <c r="E382" s="5">
        <f>SUMIF($C$2:$C$403,C382,$D$2:$D$403)</f>
        <v>0.0106823882400057</v>
      </c>
      <c r="F382" s="5">
        <f t="shared" si="10"/>
        <v>0</v>
      </c>
      <c r="G382" s="18">
        <f t="shared" si="11"/>
        <v>0.000114113418510212</v>
      </c>
    </row>
    <row r="383" spans="1:7">
      <c r="A383" s="16" t="s">
        <v>651</v>
      </c>
      <c r="B383" s="16">
        <v>428251</v>
      </c>
      <c r="C383" s="11" t="s">
        <v>652</v>
      </c>
      <c r="D383" s="5">
        <f>B383/SUM($B$2:$B$403)</f>
        <v>0.00139274527655404</v>
      </c>
      <c r="E383" s="5">
        <f>SUMIF($C$2:$C$403,C383,$D$2:$D$403)</f>
        <v>0.00139274527655404</v>
      </c>
      <c r="F383" s="5">
        <f t="shared" si="10"/>
        <v>0</v>
      </c>
      <c r="G383" s="18">
        <f t="shared" si="11"/>
        <v>1.9397394053636e-6</v>
      </c>
    </row>
    <row r="384" spans="1:7">
      <c r="A384" s="16" t="s">
        <v>653</v>
      </c>
      <c r="B384" s="16">
        <v>428144</v>
      </c>
      <c r="C384" s="11" t="s">
        <v>654</v>
      </c>
      <c r="D384" s="5">
        <f>B384/SUM($B$2:$B$403)</f>
        <v>0.00139239729430861</v>
      </c>
      <c r="E384" s="5">
        <f>SUMIF($C$2:$C$403,C384,$D$2:$D$403)</f>
        <v>0.00139239729430861</v>
      </c>
      <c r="F384" s="5">
        <f t="shared" si="10"/>
        <v>0</v>
      </c>
      <c r="G384" s="18">
        <f t="shared" si="11"/>
        <v>1.93877022519792e-6</v>
      </c>
    </row>
    <row r="385" spans="1:7">
      <c r="A385" s="16" t="s">
        <v>655</v>
      </c>
      <c r="B385" s="16">
        <v>71871</v>
      </c>
      <c r="C385" s="11" t="s">
        <v>656</v>
      </c>
      <c r="D385" s="5">
        <f>B385/SUM($B$2:$B$403)</f>
        <v>0.000233736747307574</v>
      </c>
      <c r="E385" s="5">
        <f>SUMIF($C$2:$C$403,C385,$D$2:$D$403)</f>
        <v>0.000233736747307574</v>
      </c>
      <c r="F385" s="5">
        <f t="shared" si="10"/>
        <v>0</v>
      </c>
      <c r="G385" s="18">
        <f t="shared" si="11"/>
        <v>5.46328670419245e-8</v>
      </c>
    </row>
    <row r="386" spans="1:7">
      <c r="A386" s="16" t="s">
        <v>657</v>
      </c>
      <c r="B386" s="16">
        <v>91488</v>
      </c>
      <c r="C386" s="11" t="s">
        <v>658</v>
      </c>
      <c r="D386" s="5">
        <f>B386/SUM($B$2:$B$403)</f>
        <v>0.000297534576361471</v>
      </c>
      <c r="E386" s="5">
        <f>SUMIF($C$2:$C$403,C386,$D$2:$D$403)</f>
        <v>0.000297534576361471</v>
      </c>
      <c r="F386" s="5">
        <f t="shared" ref="F386:F403" si="12">E386-D386</f>
        <v>0</v>
      </c>
      <c r="G386" s="18">
        <f t="shared" si="11"/>
        <v>8.85268241306001e-8</v>
      </c>
    </row>
    <row r="387" spans="1:7">
      <c r="A387" s="16" t="s">
        <v>659</v>
      </c>
      <c r="B387" s="16">
        <v>1149626</v>
      </c>
      <c r="C387" s="11" t="s">
        <v>660</v>
      </c>
      <c r="D387" s="5">
        <f>B387/SUM($B$2:$B$403)</f>
        <v>0.00373877978406056</v>
      </c>
      <c r="E387" s="5">
        <f>SUMIF($C$2:$C$403,C387,$D$2:$D$403)</f>
        <v>0.00373877978406056</v>
      </c>
      <c r="F387" s="5">
        <f t="shared" si="12"/>
        <v>0</v>
      </c>
      <c r="G387" s="18">
        <f t="shared" ref="G387:G403" si="13">D387*D387</f>
        <v>1.39784742736999e-5</v>
      </c>
    </row>
    <row r="388" spans="1:7">
      <c r="A388" s="16" t="s">
        <v>661</v>
      </c>
      <c r="B388" s="16">
        <v>420912</v>
      </c>
      <c r="C388" s="11" t="s">
        <v>662</v>
      </c>
      <c r="D388" s="5">
        <f>B388/SUM($B$2:$B$403)</f>
        <v>0.00136887759712158</v>
      </c>
      <c r="E388" s="5">
        <f>SUMIF($C$2:$C$403,C388,$D$2:$D$403)</f>
        <v>0.00136887759712158</v>
      </c>
      <c r="F388" s="5">
        <f t="shared" si="12"/>
        <v>0</v>
      </c>
      <c r="G388" s="18">
        <f t="shared" si="13"/>
        <v>1.87382587590136e-6</v>
      </c>
    </row>
    <row r="389" spans="1:7">
      <c r="A389" s="16" t="s">
        <v>663</v>
      </c>
      <c r="B389" s="16">
        <v>3562020</v>
      </c>
      <c r="C389" s="11" t="s">
        <v>664</v>
      </c>
      <c r="D389" s="5">
        <f>B389/SUM($B$2:$B$403)</f>
        <v>0.0115842964289425</v>
      </c>
      <c r="E389" s="5">
        <f>SUMIF($C$2:$C$403,C389,$D$2:$D$403)</f>
        <v>0.0115842964289425</v>
      </c>
      <c r="F389" s="5">
        <f t="shared" si="12"/>
        <v>0</v>
      </c>
      <c r="G389" s="18">
        <f t="shared" si="13"/>
        <v>0.000134195923753609</v>
      </c>
    </row>
    <row r="390" spans="1:7">
      <c r="A390" s="16" t="s">
        <v>665</v>
      </c>
      <c r="B390" s="16">
        <v>638433</v>
      </c>
      <c r="C390" s="11" t="s">
        <v>666</v>
      </c>
      <c r="D390" s="5">
        <f>B390/SUM($B$2:$B$403)</f>
        <v>0.00207629298039287</v>
      </c>
      <c r="E390" s="5">
        <f>SUMIF($C$2:$C$403,C390,$D$2:$D$403)</f>
        <v>0.00207629298039287</v>
      </c>
      <c r="F390" s="5">
        <f t="shared" si="12"/>
        <v>0</v>
      </c>
      <c r="G390" s="18">
        <f t="shared" si="13"/>
        <v>4.31099254042872e-6</v>
      </c>
    </row>
    <row r="391" spans="1:7">
      <c r="A391" s="16" t="s">
        <v>667</v>
      </c>
      <c r="B391" s="16">
        <v>1726585</v>
      </c>
      <c r="C391" s="11" t="s">
        <v>668</v>
      </c>
      <c r="D391" s="5">
        <f>B391/SUM($B$2:$B$403)</f>
        <v>0.00561514883402272</v>
      </c>
      <c r="E391" s="5">
        <f>SUMIF($C$2:$C$403,C391,$D$2:$D$403)</f>
        <v>0.00561514883402272</v>
      </c>
      <c r="F391" s="5">
        <f t="shared" si="12"/>
        <v>0</v>
      </c>
      <c r="G391" s="18">
        <f t="shared" si="13"/>
        <v>3.15298964282267e-5</v>
      </c>
    </row>
    <row r="392" spans="1:7">
      <c r="A392" s="16" t="s">
        <v>669</v>
      </c>
      <c r="B392" s="16">
        <v>4617458</v>
      </c>
      <c r="C392" s="11" t="s">
        <v>670</v>
      </c>
      <c r="D392" s="5">
        <f>B392/SUM($B$2:$B$403)</f>
        <v>0.0150167607762426</v>
      </c>
      <c r="E392" s="5">
        <f>SUMIF($C$2:$C$403,C392,$D$2:$D$403)</f>
        <v>0.0150167607762426</v>
      </c>
      <c r="F392" s="5">
        <f t="shared" si="12"/>
        <v>0</v>
      </c>
      <c r="G392" s="18">
        <f t="shared" si="13"/>
        <v>0.000225503104210899</v>
      </c>
    </row>
    <row r="393" spans="1:7">
      <c r="A393" s="16" t="s">
        <v>671</v>
      </c>
      <c r="B393" s="16">
        <v>3778873</v>
      </c>
      <c r="C393" s="11" t="s">
        <v>672</v>
      </c>
      <c r="D393" s="5">
        <f>B393/SUM($B$2:$B$403)</f>
        <v>0.0122895393623076</v>
      </c>
      <c r="E393" s="5">
        <f>SUMIF($C$2:$C$403,C393,$D$2:$D$403)</f>
        <v>0.0122895393623076</v>
      </c>
      <c r="F393" s="5">
        <f t="shared" si="12"/>
        <v>0</v>
      </c>
      <c r="G393" s="18">
        <f t="shared" si="13"/>
        <v>0.000151032777737709</v>
      </c>
    </row>
    <row r="394" spans="1:7">
      <c r="A394" s="16" t="s">
        <v>673</v>
      </c>
      <c r="B394" s="16">
        <v>459239</v>
      </c>
      <c r="C394" s="11" t="s">
        <v>674</v>
      </c>
      <c r="D394" s="5">
        <f>B394/SUM($B$2:$B$403)</f>
        <v>0.00149352353656945</v>
      </c>
      <c r="E394" s="5">
        <f>SUMIF($C$2:$C$403,C394,$D$2:$D$403)</f>
        <v>0.00149352353656945</v>
      </c>
      <c r="F394" s="5">
        <f t="shared" si="12"/>
        <v>0</v>
      </c>
      <c r="G394" s="18">
        <f t="shared" si="13"/>
        <v>2.23061255428691e-6</v>
      </c>
    </row>
    <row r="395" spans="1:7">
      <c r="A395" s="16" t="s">
        <v>675</v>
      </c>
      <c r="B395" s="16">
        <v>1696964</v>
      </c>
      <c r="C395" s="11" t="s">
        <v>676</v>
      </c>
      <c r="D395" s="5">
        <f>B395/SUM($B$2:$B$403)</f>
        <v>0.00551881629110558</v>
      </c>
      <c r="E395" s="5">
        <f>SUMIF($C$2:$C$403,C395,$D$2:$D$403)</f>
        <v>0.00551881629110558</v>
      </c>
      <c r="F395" s="5">
        <f t="shared" si="12"/>
        <v>0</v>
      </c>
      <c r="G395" s="18">
        <f t="shared" si="13"/>
        <v>3.04573332549724e-5</v>
      </c>
    </row>
    <row r="396" spans="1:7">
      <c r="A396" s="16" t="s">
        <v>677</v>
      </c>
      <c r="B396" s="16">
        <v>404254</v>
      </c>
      <c r="C396" s="11" t="s">
        <v>678</v>
      </c>
      <c r="D396" s="5">
        <f>B396/SUM($B$2:$B$403)</f>
        <v>0.00131470294063079</v>
      </c>
      <c r="E396" s="5">
        <f>SUMIF($C$2:$C$403,C396,$D$2:$D$403)</f>
        <v>0.00131470294063079</v>
      </c>
      <c r="F396" s="5">
        <f t="shared" si="12"/>
        <v>0</v>
      </c>
      <c r="G396" s="18">
        <f t="shared" si="13"/>
        <v>1.72844382210326e-6</v>
      </c>
    </row>
    <row r="397" spans="1:7">
      <c r="A397" s="16" t="s">
        <v>679</v>
      </c>
      <c r="B397" s="16">
        <v>338205</v>
      </c>
      <c r="C397" s="11" t="s">
        <v>680</v>
      </c>
      <c r="D397" s="5">
        <f>B397/SUM($B$2:$B$403)</f>
        <v>0.0010999003300797</v>
      </c>
      <c r="E397" s="5">
        <f>SUMIF($C$2:$C$403,C397,$D$2:$D$403)</f>
        <v>0.0010999003300797</v>
      </c>
      <c r="F397" s="5">
        <f t="shared" si="12"/>
        <v>0</v>
      </c>
      <c r="G397" s="18">
        <f t="shared" si="13"/>
        <v>1.20978073610943e-6</v>
      </c>
    </row>
    <row r="398" spans="1:7">
      <c r="A398" s="16" t="s">
        <v>681</v>
      </c>
      <c r="B398" s="16">
        <v>73927</v>
      </c>
      <c r="C398" s="11" t="s">
        <v>682</v>
      </c>
      <c r="D398" s="5">
        <f>B398/SUM($B$2:$B$403)</f>
        <v>0.000240423209892822</v>
      </c>
      <c r="E398" s="5">
        <f>SUMIF($C$2:$C$403,C398,$D$2:$D$403)</f>
        <v>0.000240423209892822</v>
      </c>
      <c r="F398" s="5">
        <f t="shared" si="12"/>
        <v>0</v>
      </c>
      <c r="G398" s="18">
        <f t="shared" si="13"/>
        <v>5.78033198551678e-8</v>
      </c>
    </row>
    <row r="399" spans="1:7">
      <c r="A399" s="16" t="s">
        <v>683</v>
      </c>
      <c r="B399" s="16">
        <v>64097</v>
      </c>
      <c r="C399" s="11" t="s">
        <v>684</v>
      </c>
      <c r="D399" s="5">
        <f>B399/SUM($B$2:$B$403)</f>
        <v>0.000208454373699733</v>
      </c>
      <c r="E399" s="5">
        <f>SUMIF($C$2:$C$403,C399,$D$2:$D$403)</f>
        <v>0.000208454373699733</v>
      </c>
      <c r="F399" s="5">
        <f t="shared" si="12"/>
        <v>0</v>
      </c>
      <c r="G399" s="18">
        <f t="shared" si="13"/>
        <v>4.34532259145481e-8</v>
      </c>
    </row>
    <row r="400" spans="1:7">
      <c r="A400" s="16" t="s">
        <v>685</v>
      </c>
      <c r="B400" s="16">
        <v>2380010</v>
      </c>
      <c r="C400" s="11" t="s">
        <v>686</v>
      </c>
      <c r="D400" s="5">
        <f>B400/SUM($B$2:$B$403)</f>
        <v>0.0077401983548232</v>
      </c>
      <c r="E400" s="5">
        <f>SUMIF($C$2:$C$403,C400,$D$2:$D$403)</f>
        <v>0.0077401983548232</v>
      </c>
      <c r="F400" s="5">
        <f t="shared" si="12"/>
        <v>0</v>
      </c>
      <c r="G400" s="18">
        <f t="shared" si="13"/>
        <v>5.99106705720078e-5</v>
      </c>
    </row>
    <row r="401" spans="1:7">
      <c r="A401" s="16" t="s">
        <v>687</v>
      </c>
      <c r="B401" s="16">
        <v>586703</v>
      </c>
      <c r="C401" s="11" t="s">
        <v>688</v>
      </c>
      <c r="D401" s="5">
        <f>B401/SUM($B$2:$B$403)</f>
        <v>0.00190805819949069</v>
      </c>
      <c r="E401" s="5">
        <f>SUMIF($C$2:$C$403,C401,$D$2:$D$403)</f>
        <v>0.00190805819949069</v>
      </c>
      <c r="F401" s="5">
        <f t="shared" si="12"/>
        <v>0</v>
      </c>
      <c r="G401" s="18">
        <f t="shared" si="13"/>
        <v>3.64068609264365e-6</v>
      </c>
    </row>
    <row r="402" spans="1:7">
      <c r="A402" s="16" t="s">
        <v>689</v>
      </c>
      <c r="B402" s="16">
        <v>553750</v>
      </c>
      <c r="C402" s="11" t="s">
        <v>690</v>
      </c>
      <c r="D402" s="5">
        <f>B402/SUM($B$2:$B$403)</f>
        <v>0.00180088942440719</v>
      </c>
      <c r="E402" s="5">
        <f>SUMIF($C$2:$C$403,C402,$D$2:$D$403)</f>
        <v>0.00180088942440719</v>
      </c>
      <c r="F402" s="5">
        <f t="shared" si="12"/>
        <v>0</v>
      </c>
      <c r="G402" s="18">
        <f t="shared" si="13"/>
        <v>3.24320271894165e-6</v>
      </c>
    </row>
    <row r="403" spans="1:7">
      <c r="A403" s="16" t="s">
        <v>691</v>
      </c>
      <c r="B403" s="16">
        <v>1619391</v>
      </c>
      <c r="C403" s="11" t="s">
        <v>692</v>
      </c>
      <c r="D403" s="5">
        <f>B403/SUM($B$2:$B$403)</f>
        <v>0.00526653566750371</v>
      </c>
      <c r="E403" s="5">
        <f>SUMIF($C$2:$C$403,C403,$D$2:$D$403)</f>
        <v>0.00526653566750371</v>
      </c>
      <c r="F403" s="5">
        <f t="shared" si="12"/>
        <v>0</v>
      </c>
      <c r="G403" s="18">
        <f t="shared" si="13"/>
        <v>2.77363979370887e-5</v>
      </c>
    </row>
    <row r="404" spans="4:5">
      <c r="D404" s="29"/>
      <c r="E404" s="29"/>
    </row>
  </sheetData>
  <sortState ref="A2:K403">
    <sortCondition ref="F2" descending="1"/>
  </sortState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403"/>
  <sheetViews>
    <sheetView workbookViewId="0">
      <selection activeCell="E2" sqref="E2"/>
    </sheetView>
  </sheetViews>
  <sheetFormatPr defaultColWidth="9" defaultRowHeight="13.5" outlineLevelCol="4"/>
  <cols>
    <col min="1" max="1" width="10.375" style="9" customWidth="1"/>
    <col min="2" max="2" width="14.375" style="10" customWidth="1"/>
    <col min="3" max="3" width="17.375" style="10" customWidth="1"/>
    <col min="4" max="4" width="12.625"/>
    <col min="5" max="5" width="48.875" customWidth="1"/>
  </cols>
  <sheetData>
    <row r="1" spans="1:5">
      <c r="A1" s="11" t="s">
        <v>693</v>
      </c>
      <c r="B1" s="10" t="s">
        <v>694</v>
      </c>
      <c r="C1" s="12" t="s">
        <v>695</v>
      </c>
      <c r="D1" s="13"/>
      <c r="E1" s="13" t="s">
        <v>696</v>
      </c>
    </row>
    <row r="2" spans="1:5">
      <c r="A2" s="11" t="s">
        <v>468</v>
      </c>
      <c r="B2" s="10">
        <f>SUMIF(格道17!$C$2:$C$403,A2,格道17!$D$2:$D$403)</f>
        <v>0.00154692417647693</v>
      </c>
      <c r="C2" s="10">
        <f>B2*B2</f>
        <v>2.39297440776882e-6</v>
      </c>
      <c r="D2" s="13" t="s">
        <v>10</v>
      </c>
      <c r="E2" s="14">
        <f>SUM(C:C)</f>
        <v>0.00907635085780037</v>
      </c>
    </row>
    <row r="3" spans="1:3">
      <c r="A3" s="11" t="s">
        <v>466</v>
      </c>
      <c r="B3" s="10">
        <f>SUMIF(格道17!$C$2:$C$403,A3,格道17!$D$2:$D$403)</f>
        <v>0.00144069853084368</v>
      </c>
      <c r="C3" s="10">
        <f t="shared" ref="C3:C66" si="0">B3*B3</f>
        <v>2.07561225677513e-6</v>
      </c>
    </row>
    <row r="4" spans="1:3">
      <c r="A4" s="11" t="s">
        <v>185</v>
      </c>
      <c r="B4" s="10">
        <f>SUMIF(格道17!$C$2:$C$403,A4,格道17!$D$2:$D$403)</f>
        <v>0.00124585449076226</v>
      </c>
      <c r="C4" s="10">
        <f t="shared" si="0"/>
        <v>1.55215341215249e-6</v>
      </c>
    </row>
    <row r="5" spans="1:3">
      <c r="A5" s="11" t="s">
        <v>470</v>
      </c>
      <c r="B5" s="10">
        <f>SUMIF(格道17!$C$2:$C$403,A5,格道17!$D$2:$D$403)</f>
        <v>0.0123413139169561</v>
      </c>
      <c r="C5" s="10">
        <f t="shared" si="0"/>
        <v>0.000152308029196853</v>
      </c>
    </row>
    <row r="6" spans="1:3">
      <c r="A6" s="11" t="s">
        <v>462</v>
      </c>
      <c r="B6" s="10">
        <f>SUMIF(格道17!$C$2:$C$403,A6,格道17!$D$2:$D$403)</f>
        <v>0.00226795639770757</v>
      </c>
      <c r="C6" s="10">
        <f t="shared" si="0"/>
        <v>5.14362622190269e-6</v>
      </c>
    </row>
    <row r="7" spans="1:3">
      <c r="A7" s="11" t="s">
        <v>446</v>
      </c>
      <c r="B7" s="10">
        <f>SUMIF(格道17!$C$2:$C$403,A7,格道17!$D$2:$D$403)</f>
        <v>0.00197727739679829</v>
      </c>
      <c r="C7" s="10">
        <f t="shared" si="0"/>
        <v>3.90962590388941e-6</v>
      </c>
    </row>
    <row r="8" spans="1:3">
      <c r="A8" s="11" t="s">
        <v>444</v>
      </c>
      <c r="B8" s="10">
        <f>SUMIF(格道17!$C$2:$C$403,A8,格道17!$D$2:$D$403)</f>
        <v>3.54258934538465e-5</v>
      </c>
      <c r="C8" s="10">
        <f t="shared" si="0"/>
        <v>1.25499392700328e-9</v>
      </c>
    </row>
    <row r="9" spans="1:3">
      <c r="A9" s="11" t="s">
        <v>456</v>
      </c>
      <c r="B9" s="10">
        <f>SUMIF(格道17!$C$2:$C$403,A9,格道17!$D$2:$D$403)</f>
        <v>0.00100994529354859</v>
      </c>
      <c r="C9" s="10">
        <f t="shared" si="0"/>
        <v>1.01998949596094e-6</v>
      </c>
    </row>
    <row r="10" spans="1:3">
      <c r="A10" s="11" t="s">
        <v>454</v>
      </c>
      <c r="B10" s="10">
        <f>SUMIF(格道17!$C$2:$C$403,A10,格道17!$D$2:$D$403)</f>
        <v>0.000896568124945998</v>
      </c>
      <c r="C10" s="10">
        <f t="shared" si="0"/>
        <v>8.03834402669182e-7</v>
      </c>
    </row>
    <row r="11" spans="1:3">
      <c r="A11" s="11" t="s">
        <v>460</v>
      </c>
      <c r="B11" s="10">
        <f>SUMIF(格道17!$C$2:$C$403,A11,格道17!$D$2:$D$403)</f>
        <v>0.00118796585553978</v>
      </c>
      <c r="C11" s="10">
        <f t="shared" si="0"/>
        <v>1.41126287392837e-6</v>
      </c>
    </row>
    <row r="12" spans="1:3">
      <c r="A12" s="11" t="s">
        <v>450</v>
      </c>
      <c r="B12" s="10">
        <f>SUMIF(格道17!$C$2:$C$403,A12,格道17!$D$2:$D$403)</f>
        <v>0.00294641770685606</v>
      </c>
      <c r="C12" s="10">
        <f t="shared" si="0"/>
        <v>8.68137730327494e-6</v>
      </c>
    </row>
    <row r="13" spans="1:3">
      <c r="A13" s="11" t="s">
        <v>458</v>
      </c>
      <c r="B13" s="10">
        <f>SUMIF(格道17!$C$2:$C$403,A13,格道17!$D$2:$D$403)</f>
        <v>0.00726480582499644</v>
      </c>
      <c r="C13" s="10">
        <f t="shared" si="0"/>
        <v>5.27774036749022e-5</v>
      </c>
    </row>
    <row r="14" spans="1:3">
      <c r="A14" s="11" t="s">
        <v>452</v>
      </c>
      <c r="B14" s="10">
        <f>SUMIF(格道17!$C$2:$C$403,A14,格道17!$D$2:$D$403)</f>
        <v>0.00912572056065651</v>
      </c>
      <c r="C14" s="10">
        <f t="shared" si="0"/>
        <v>8.32787757511889e-5</v>
      </c>
    </row>
    <row r="15" spans="1:3">
      <c r="A15" s="11" t="s">
        <v>464</v>
      </c>
      <c r="B15" s="10">
        <f>SUMIF(格道17!$C$2:$C$403,A15,格道17!$D$2:$D$403)</f>
        <v>0.00465508858405153</v>
      </c>
      <c r="C15" s="10">
        <f t="shared" si="0"/>
        <v>2.16698497253669e-5</v>
      </c>
    </row>
    <row r="16" spans="1:3">
      <c r="A16" s="11" t="s">
        <v>448</v>
      </c>
      <c r="B16" s="10">
        <f>SUMIF(格道17!$C$2:$C$403,A16,格道17!$D$2:$D$403)</f>
        <v>0.00212497146870804</v>
      </c>
      <c r="C16" s="10">
        <f t="shared" si="0"/>
        <v>4.51550374282322e-6</v>
      </c>
    </row>
    <row r="17" spans="1:3">
      <c r="A17" s="11" t="s">
        <v>187</v>
      </c>
      <c r="B17" s="10">
        <f>SUMIF(格道17!$C$2:$C$403,A17,格道17!$D$2:$D$403)</f>
        <v>0.00138631573543973</v>
      </c>
      <c r="C17" s="10">
        <f t="shared" si="0"/>
        <v>1.92187131832779e-6</v>
      </c>
    </row>
    <row r="18" spans="1:3">
      <c r="A18" s="11" t="s">
        <v>538</v>
      </c>
      <c r="B18" s="10">
        <f>SUMIF(格道17!$C$2:$C$403,A18,格道17!$D$2:$D$403)</f>
        <v>0.00102709398869062</v>
      </c>
      <c r="C18" s="10">
        <f t="shared" si="0"/>
        <v>1.0549220616044e-6</v>
      </c>
    </row>
    <row r="19" spans="1:3">
      <c r="A19" s="11" t="s">
        <v>534</v>
      </c>
      <c r="B19" s="10">
        <f>SUMIF(格道17!$C$2:$C$403,A19,格道17!$D$2:$D$403)</f>
        <v>0.00353403288475148</v>
      </c>
      <c r="C19" s="10">
        <f t="shared" si="0"/>
        <v>1.24893884305049e-5</v>
      </c>
    </row>
    <row r="20" spans="1:3">
      <c r="A20" s="11" t="s">
        <v>272</v>
      </c>
      <c r="B20" s="10">
        <f>SUMIF(格道17!$C$2:$C$403,A20,格道17!$D$2:$D$403)</f>
        <v>0.000463369255421284</v>
      </c>
      <c r="C20" s="10">
        <f t="shared" si="0"/>
        <v>2.14711066869675e-7</v>
      </c>
    </row>
    <row r="21" spans="1:3">
      <c r="A21" s="11" t="s">
        <v>540</v>
      </c>
      <c r="B21" s="10">
        <f>SUMIF(格道17!$C$2:$C$403,A21,格道17!$D$2:$D$403)</f>
        <v>0.00374019773040646</v>
      </c>
      <c r="C21" s="10">
        <f t="shared" si="0"/>
        <v>1.39890790625376e-5</v>
      </c>
    </row>
    <row r="22" spans="1:3">
      <c r="A22" s="11" t="s">
        <v>544</v>
      </c>
      <c r="B22" s="10">
        <f>SUMIF(格道17!$C$2:$C$403,A22,格道17!$D$2:$D$403)</f>
        <v>0.00490089413615183</v>
      </c>
      <c r="C22" s="10">
        <f t="shared" si="0"/>
        <v>2.40187633337674e-5</v>
      </c>
    </row>
    <row r="23" spans="1:3">
      <c r="A23" s="11" t="s">
        <v>175</v>
      </c>
      <c r="B23" s="10">
        <f>SUMIF(格道17!$C$2:$C$403,A23,格道17!$D$2:$D$403)</f>
        <v>0.00245948647603102</v>
      </c>
      <c r="C23" s="10">
        <f t="shared" si="0"/>
        <v>6.0490737257795e-6</v>
      </c>
    </row>
    <row r="24" spans="1:3">
      <c r="A24" s="11" t="s">
        <v>246</v>
      </c>
      <c r="B24" s="10">
        <f>SUMIF(格道17!$C$2:$C$403,A24,格道17!$D$2:$D$403)</f>
        <v>0.000753505143854039</v>
      </c>
      <c r="C24" s="10">
        <f t="shared" si="0"/>
        <v>5.67770001814496e-7</v>
      </c>
    </row>
    <row r="25" spans="1:3">
      <c r="A25" s="11" t="s">
        <v>536</v>
      </c>
      <c r="B25" s="10">
        <f>SUMIF(格道17!$C$2:$C$403,A25,格道17!$D$2:$D$403)</f>
        <v>0.00107014296983893</v>
      </c>
      <c r="C25" s="10">
        <f t="shared" si="0"/>
        <v>1.14520597589568e-6</v>
      </c>
    </row>
    <row r="26" spans="1:3">
      <c r="A26" s="11" t="s">
        <v>169</v>
      </c>
      <c r="B26" s="10">
        <f>SUMIF(格道17!$C$2:$C$403,A26,格道17!$D$2:$D$403)</f>
        <v>0.00160508599402293</v>
      </c>
      <c r="C26" s="10">
        <f t="shared" si="0"/>
        <v>2.57630104820857e-6</v>
      </c>
    </row>
    <row r="27" spans="1:3">
      <c r="A27" s="11" t="s">
        <v>253</v>
      </c>
      <c r="B27" s="10">
        <f>SUMIF(格道17!$C$2:$C$403,A27,格道17!$D$2:$D$403)</f>
        <v>0.00104837619256117</v>
      </c>
      <c r="C27" s="10">
        <f t="shared" si="0"/>
        <v>1.09909264112906e-6</v>
      </c>
    </row>
    <row r="28" spans="1:3">
      <c r="A28" s="11" t="s">
        <v>251</v>
      </c>
      <c r="B28" s="10">
        <f>SUMIF(格道17!$C$2:$C$403,A28,格道17!$D$2:$D$403)</f>
        <v>0.000718235354585062</v>
      </c>
      <c r="C28" s="10">
        <f t="shared" si="0"/>
        <v>5.1586202457593e-7</v>
      </c>
    </row>
    <row r="29" spans="1:3">
      <c r="A29" s="11" t="s">
        <v>542</v>
      </c>
      <c r="B29" s="10">
        <f>SUMIF(格道17!$C$2:$C$403,A29,格道17!$D$2:$D$403)</f>
        <v>0.00146928510969792</v>
      </c>
      <c r="C29" s="10">
        <f t="shared" si="0"/>
        <v>2.15879873358004e-6</v>
      </c>
    </row>
    <row r="30" spans="1:3">
      <c r="A30" s="11" t="s">
        <v>532</v>
      </c>
      <c r="B30" s="10">
        <f>SUMIF(格道17!$C$2:$C$403,A30,格道17!$D$2:$D$403)</f>
        <v>0.00898550648093842</v>
      </c>
      <c r="C30" s="10">
        <f t="shared" si="0"/>
        <v>8.07393267189863e-5</v>
      </c>
    </row>
    <row r="31" spans="1:3">
      <c r="A31" s="11" t="s">
        <v>442</v>
      </c>
      <c r="B31" s="10">
        <f>SUMIF(格道17!$C$2:$C$403,A31,格道17!$D$2:$D$403)</f>
        <v>0.000819325822970205</v>
      </c>
      <c r="C31" s="10">
        <f t="shared" si="0"/>
        <v>6.71294804185804e-7</v>
      </c>
    </row>
    <row r="32" spans="1:3">
      <c r="A32" s="11" t="s">
        <v>71</v>
      </c>
      <c r="B32" s="10">
        <f>SUMIF(格道17!$C$2:$C$403,A32,格道17!$D$2:$D$403)</f>
        <v>0.00344234118916369</v>
      </c>
      <c r="C32" s="10">
        <f t="shared" si="0"/>
        <v>1.18497128626129e-5</v>
      </c>
    </row>
    <row r="33" spans="1:3">
      <c r="A33" s="11" t="s">
        <v>356</v>
      </c>
      <c r="B33" s="10">
        <f>SUMIF(格道17!$C$2:$C$403,A33,格道17!$D$2:$D$403)</f>
        <v>0.00222450739958553</v>
      </c>
      <c r="C33" s="10">
        <f t="shared" si="0"/>
        <v>4.94843317081077e-6</v>
      </c>
    </row>
    <row r="34" spans="1:3">
      <c r="A34" s="11" t="s">
        <v>40</v>
      </c>
      <c r="B34" s="10">
        <f>SUMIF(格道17!$C$2:$C$403,A34,格道17!$D$2:$D$403)</f>
        <v>0.00578255105927226</v>
      </c>
      <c r="C34" s="10">
        <f t="shared" si="0"/>
        <v>3.34378967530908e-5</v>
      </c>
    </row>
    <row r="35" spans="1:3">
      <c r="A35" s="11" t="s">
        <v>154</v>
      </c>
      <c r="B35" s="10">
        <f>SUMIF(格道17!$C$2:$C$403,A35,格道17!$D$2:$D$403)</f>
        <v>0.0018508492679065</v>
      </c>
      <c r="C35" s="10">
        <f t="shared" si="0"/>
        <v>3.42564301251001e-6</v>
      </c>
    </row>
    <row r="36" spans="1:3">
      <c r="A36" s="11" t="s">
        <v>221</v>
      </c>
      <c r="B36" s="10">
        <f>SUMIF(格道17!$C$2:$C$403,A36,格道17!$D$2:$D$403)</f>
        <v>0.00160693973121825</v>
      </c>
      <c r="C36" s="10">
        <f t="shared" si="0"/>
        <v>2.58225529976779e-6</v>
      </c>
    </row>
    <row r="37" spans="1:3">
      <c r="A37" s="11" t="s">
        <v>161</v>
      </c>
      <c r="B37" s="10">
        <f>SUMIF(格道17!$C$2:$C$403,A37,格道17!$D$2:$D$403)</f>
        <v>0.00196775178935072</v>
      </c>
      <c r="C37" s="10">
        <f t="shared" si="0"/>
        <v>3.87204710449297e-6</v>
      </c>
    </row>
    <row r="38" spans="1:3">
      <c r="A38" s="11" t="s">
        <v>141</v>
      </c>
      <c r="B38" s="10">
        <f>SUMIF(格道17!$C$2:$C$403,A38,格道17!$D$2:$D$403)</f>
        <v>0.0024148732008635</v>
      </c>
      <c r="C38" s="10">
        <f t="shared" si="0"/>
        <v>5.83161257624871e-6</v>
      </c>
    </row>
    <row r="39" spans="1:3">
      <c r="A39" s="11" t="s">
        <v>234</v>
      </c>
      <c r="B39" s="10">
        <f>SUMIF(格道17!$C$2:$C$403,A39,格道17!$D$2:$D$403)</f>
        <v>0.00143317300826475</v>
      </c>
      <c r="C39" s="10">
        <f t="shared" si="0"/>
        <v>2.05398487161864e-6</v>
      </c>
    </row>
    <row r="40" spans="1:3">
      <c r="A40" s="11" t="s">
        <v>98</v>
      </c>
      <c r="B40" s="10">
        <f>SUMIF(格道17!$C$2:$C$403,A40,格道17!$D$2:$D$403)</f>
        <v>0.00361548349537772</v>
      </c>
      <c r="C40" s="10">
        <f t="shared" si="0"/>
        <v>1.30717209053487e-5</v>
      </c>
    </row>
    <row r="41" spans="1:3">
      <c r="A41" s="11" t="s">
        <v>281</v>
      </c>
      <c r="B41" s="10">
        <f>SUMIF(格道17!$C$2:$C$403,A41,格道17!$D$2:$D$403)</f>
        <v>0.000750451355737527</v>
      </c>
      <c r="C41" s="10">
        <f t="shared" si="0"/>
        <v>5.63177237328293e-7</v>
      </c>
    </row>
    <row r="42" spans="1:3">
      <c r="A42" s="11" t="s">
        <v>256</v>
      </c>
      <c r="B42" s="10">
        <f>SUMIF(格道17!$C$2:$C$403,A42,格道17!$D$2:$D$403)</f>
        <v>0.000584164624975696</v>
      </c>
      <c r="C42" s="10">
        <f t="shared" si="0"/>
        <v>3.41248309072996e-7</v>
      </c>
    </row>
    <row r="43" spans="1:3">
      <c r="A43" s="11" t="s">
        <v>312</v>
      </c>
      <c r="B43" s="10">
        <f>SUMIF(格道17!$C$2:$C$403,A43,格道17!$D$2:$D$403)</f>
        <v>0.000275156391026309</v>
      </c>
      <c r="C43" s="10">
        <f t="shared" si="0"/>
        <v>7.57110395226233e-8</v>
      </c>
    </row>
    <row r="44" spans="1:3">
      <c r="A44" s="11" t="s">
        <v>166</v>
      </c>
      <c r="B44" s="10">
        <f>SUMIF(格道17!$C$2:$C$403,A44,格道17!$D$2:$D$403)</f>
        <v>0.0014677013026556</v>
      </c>
      <c r="C44" s="10">
        <f t="shared" si="0"/>
        <v>2.15414711381695e-6</v>
      </c>
    </row>
    <row r="45" spans="1:3">
      <c r="A45" s="11" t="s">
        <v>244</v>
      </c>
      <c r="B45" s="10">
        <f>SUMIF(格道17!$C$2:$C$403,A45,格道17!$D$2:$D$403)</f>
        <v>0.00102020914370376</v>
      </c>
      <c r="C45" s="10">
        <f t="shared" si="0"/>
        <v>1.04082669689676e-6</v>
      </c>
    </row>
    <row r="46" spans="1:3">
      <c r="A46" s="11" t="s">
        <v>502</v>
      </c>
      <c r="B46" s="10">
        <f>SUMIF(格道17!$C$2:$C$403,A46,格道17!$D$2:$D$403)</f>
        <v>0.00103950427138775</v>
      </c>
      <c r="C46" s="10">
        <f t="shared" si="0"/>
        <v>1.08056913023338e-6</v>
      </c>
    </row>
    <row r="47" spans="1:3">
      <c r="A47" s="11" t="s">
        <v>530</v>
      </c>
      <c r="B47" s="10">
        <f>SUMIF(格道17!$C$2:$C$403,A47,格道17!$D$2:$D$403)</f>
        <v>0.000987645160305859</v>
      </c>
      <c r="C47" s="10">
        <f t="shared" si="0"/>
        <v>9.75442962675586e-7</v>
      </c>
    </row>
    <row r="48" spans="1:3">
      <c r="A48" s="11" t="s">
        <v>500</v>
      </c>
      <c r="B48" s="10">
        <f>SUMIF(格道17!$C$2:$C$403,A48,格道17!$D$2:$D$403)</f>
        <v>0.0058205786891406</v>
      </c>
      <c r="C48" s="10">
        <f t="shared" si="0"/>
        <v>3.38791362764778e-5</v>
      </c>
    </row>
    <row r="49" spans="1:3">
      <c r="A49" s="11" t="s">
        <v>229</v>
      </c>
      <c r="B49" s="10">
        <f>SUMIF(格道17!$C$2:$C$403,A49,格道17!$D$2:$D$403)</f>
        <v>0.00118650237880663</v>
      </c>
      <c r="C49" s="10">
        <f t="shared" si="0"/>
        <v>1.40778789491379e-6</v>
      </c>
    </row>
    <row r="50" spans="1:3">
      <c r="A50" s="11" t="s">
        <v>137</v>
      </c>
      <c r="B50" s="10">
        <f>SUMIF(格道17!$C$2:$C$403,A50,格道17!$D$2:$D$403)</f>
        <v>0.00250898776348728</v>
      </c>
      <c r="C50" s="10">
        <f t="shared" si="0"/>
        <v>6.29501959732889e-6</v>
      </c>
    </row>
    <row r="51" spans="1:3">
      <c r="A51" s="11" t="s">
        <v>239</v>
      </c>
      <c r="B51" s="10">
        <f>SUMIF(格道17!$C$2:$C$403,A51,格道17!$D$2:$D$403)</f>
        <v>0.000838253455385645</v>
      </c>
      <c r="C51" s="10">
        <f t="shared" si="0"/>
        <v>7.02668855465974e-7</v>
      </c>
    </row>
    <row r="52" spans="1:3">
      <c r="A52" s="11" t="s">
        <v>636</v>
      </c>
      <c r="B52" s="10">
        <f>SUMIF(格道17!$C$2:$C$403,A52,格道17!$D$2:$D$403)</f>
        <v>0.00340591362719027</v>
      </c>
      <c r="C52" s="10">
        <f t="shared" si="0"/>
        <v>1.16002476358804e-5</v>
      </c>
    </row>
    <row r="53" spans="1:3">
      <c r="A53" s="11" t="s">
        <v>648</v>
      </c>
      <c r="B53" s="10">
        <f>SUMIF(格道17!$C$2:$C$403,A53,格道17!$D$2:$D$403)</f>
        <v>0.00132314557529583</v>
      </c>
      <c r="C53" s="10">
        <f t="shared" si="0"/>
        <v>1.75071421342492e-6</v>
      </c>
    </row>
    <row r="54" spans="1:3">
      <c r="A54" s="11" t="s">
        <v>638</v>
      </c>
      <c r="B54" s="10">
        <f>SUMIF(格道17!$C$2:$C$403,A54,格道17!$D$2:$D$403)</f>
        <v>0.00358304634663002</v>
      </c>
      <c r="C54" s="10">
        <f t="shared" si="0"/>
        <v>1.28382211220987e-5</v>
      </c>
    </row>
    <row r="55" spans="1:3">
      <c r="A55" s="11" t="s">
        <v>644</v>
      </c>
      <c r="B55" s="10">
        <f>SUMIF(格道17!$C$2:$C$403,A55,格道17!$D$2:$D$403)</f>
        <v>0.00857277026831369</v>
      </c>
      <c r="C55" s="10">
        <f t="shared" si="0"/>
        <v>7.34923900732833e-5</v>
      </c>
    </row>
    <row r="56" spans="1:3">
      <c r="A56" s="11" t="s">
        <v>646</v>
      </c>
      <c r="B56" s="10">
        <f>SUMIF(格道17!$C$2:$C$403,A56,格道17!$D$2:$D$403)</f>
        <v>0.00321696902442872</v>
      </c>
      <c r="C56" s="10">
        <f t="shared" si="0"/>
        <v>1.03488897041339e-5</v>
      </c>
    </row>
    <row r="57" spans="1:3">
      <c r="A57" s="11" t="s">
        <v>624</v>
      </c>
      <c r="B57" s="10">
        <f>SUMIF(格道17!$C$2:$C$403,A57,格道17!$D$2:$D$403)</f>
        <v>0.00160428921224599</v>
      </c>
      <c r="C57" s="10">
        <f t="shared" si="0"/>
        <v>2.57374387652885e-6</v>
      </c>
    </row>
    <row r="58" spans="1:3">
      <c r="A58" s="11" t="s">
        <v>642</v>
      </c>
      <c r="B58" s="10">
        <f>SUMIF(格道17!$C$2:$C$403,A58,格道17!$D$2:$D$403)</f>
        <v>0.0131127742942406</v>
      </c>
      <c r="C58" s="10">
        <f t="shared" si="0"/>
        <v>0.000171944849691698</v>
      </c>
    </row>
    <row r="59" spans="1:3">
      <c r="A59" s="11" t="s">
        <v>630</v>
      </c>
      <c r="B59" s="10">
        <f>SUMIF(格道17!$C$2:$C$403,A59,格道17!$D$2:$D$403)</f>
        <v>0.00487792405578237</v>
      </c>
      <c r="C59" s="10">
        <f t="shared" si="0"/>
        <v>2.37941430939804e-5</v>
      </c>
    </row>
    <row r="60" spans="1:3">
      <c r="A60" s="11" t="s">
        <v>640</v>
      </c>
      <c r="B60" s="10">
        <f>SUMIF(格道17!$C$2:$C$403,A60,格道17!$D$2:$D$403)</f>
        <v>0.00304307546682501</v>
      </c>
      <c r="C60" s="10">
        <f t="shared" si="0"/>
        <v>9.26030829679226e-6</v>
      </c>
    </row>
    <row r="61" spans="1:3">
      <c r="A61" s="11" t="s">
        <v>634</v>
      </c>
      <c r="B61" s="10">
        <f>SUMIF(格道17!$C$2:$C$403,A61,格道17!$D$2:$D$403)</f>
        <v>0.0278398154598768</v>
      </c>
      <c r="C61" s="10">
        <f t="shared" si="0"/>
        <v>0.000775055324839996</v>
      </c>
    </row>
    <row r="62" spans="1:3">
      <c r="A62" s="11" t="s">
        <v>632</v>
      </c>
      <c r="B62" s="10">
        <f>SUMIF(格道17!$C$2:$C$403,A62,格道17!$D$2:$D$403)</f>
        <v>0.0072302254958773</v>
      </c>
      <c r="C62" s="10">
        <f t="shared" si="0"/>
        <v>5.22761607212342e-5</v>
      </c>
    </row>
    <row r="63" spans="1:3">
      <c r="A63" s="11" t="s">
        <v>29</v>
      </c>
      <c r="B63" s="10">
        <f>SUMIF(格道17!$C$2:$C$403,A63,格道17!$D$2:$D$403)</f>
        <v>0.00638198787700104</v>
      </c>
      <c r="C63" s="10">
        <f t="shared" si="0"/>
        <v>4.07297692621882e-5</v>
      </c>
    </row>
    <row r="64" spans="1:3">
      <c r="A64" s="11" t="s">
        <v>626</v>
      </c>
      <c r="B64" s="10">
        <f>SUMIF(格道17!$C$2:$C$403,A64,格道17!$D$2:$D$403)</f>
        <v>0.00415742844268722</v>
      </c>
      <c r="C64" s="10">
        <f t="shared" si="0"/>
        <v>1.72842112560647e-5</v>
      </c>
    </row>
    <row r="65" spans="1:3">
      <c r="A65" s="11" t="s">
        <v>628</v>
      </c>
      <c r="B65" s="10">
        <f>SUMIF(格道17!$C$2:$C$403,A65,格道17!$D$2:$D$403)</f>
        <v>0.00328994122651422</v>
      </c>
      <c r="C65" s="10">
        <f t="shared" si="0"/>
        <v>1.08237132739179e-5</v>
      </c>
    </row>
    <row r="66" spans="1:3">
      <c r="A66" s="11" t="s">
        <v>438</v>
      </c>
      <c r="B66" s="10">
        <f>SUMIF(格道17!$C$2:$C$403,A66,格道17!$D$2:$D$403)</f>
        <v>0.00469106734649345</v>
      </c>
      <c r="C66" s="10">
        <f t="shared" si="0"/>
        <v>2.20061128493371e-5</v>
      </c>
    </row>
    <row r="67" spans="1:3">
      <c r="A67" s="11" t="s">
        <v>432</v>
      </c>
      <c r="B67" s="10">
        <f>SUMIF(格道17!$C$2:$C$403,A67,格道17!$D$2:$D$403)</f>
        <v>0.00362348058268177</v>
      </c>
      <c r="C67" s="10">
        <f t="shared" ref="C67:C130" si="1">B67*B67</f>
        <v>1.31296115330718e-5</v>
      </c>
    </row>
    <row r="68" spans="1:3">
      <c r="A68" s="11" t="s">
        <v>440</v>
      </c>
      <c r="B68" s="10">
        <f>SUMIF(格道17!$C$2:$C$403,A68,格道17!$D$2:$D$403)</f>
        <v>0.000572505593668248</v>
      </c>
      <c r="C68" s="10">
        <f t="shared" si="1"/>
        <v>3.27762654781433e-7</v>
      </c>
    </row>
    <row r="69" spans="1:3">
      <c r="A69" s="11" t="s">
        <v>77</v>
      </c>
      <c r="B69" s="10">
        <f>SUMIF(格道17!$C$2:$C$403,A69,格道17!$D$2:$D$403)</f>
        <v>0.00558491015254527</v>
      </c>
      <c r="C69" s="10">
        <f t="shared" si="1"/>
        <v>3.11912214120032e-5</v>
      </c>
    </row>
    <row r="70" spans="1:3">
      <c r="A70" s="11" t="s">
        <v>434</v>
      </c>
      <c r="B70" s="10">
        <f>SUMIF(格道17!$C$2:$C$403,A70,格道17!$D$2:$D$403)</f>
        <v>0.00255871345070928</v>
      </c>
      <c r="C70" s="10">
        <f t="shared" si="1"/>
        <v>6.54701452284061e-6</v>
      </c>
    </row>
    <row r="71" spans="1:3">
      <c r="A71" s="11" t="s">
        <v>418</v>
      </c>
      <c r="B71" s="10">
        <f>SUMIF(格道17!$C$2:$C$403,A71,格道17!$D$2:$D$403)</f>
        <v>0.0028757155197922</v>
      </c>
      <c r="C71" s="10">
        <f t="shared" si="1"/>
        <v>8.26973975077374e-6</v>
      </c>
    </row>
    <row r="72" spans="1:3">
      <c r="A72" s="11" t="s">
        <v>14</v>
      </c>
      <c r="B72" s="10">
        <f>SUMIF(格道17!$C$2:$C$403,A72,格道17!$D$2:$D$403)</f>
        <v>0.00814469681952553</v>
      </c>
      <c r="C72" s="10">
        <f t="shared" si="1"/>
        <v>6.63360862819893e-5</v>
      </c>
    </row>
    <row r="73" spans="1:3">
      <c r="A73" s="11" t="s">
        <v>116</v>
      </c>
      <c r="B73" s="10">
        <f>SUMIF(格道17!$C$2:$C$403,A73,格道17!$D$2:$D$403)</f>
        <v>0.0023867451780523</v>
      </c>
      <c r="C73" s="10">
        <f t="shared" si="1"/>
        <v>5.69655254495592e-6</v>
      </c>
    </row>
    <row r="74" spans="1:3">
      <c r="A74" s="11" t="s">
        <v>428</v>
      </c>
      <c r="B74" s="10">
        <f>SUMIF(格道17!$C$2:$C$403,A74,格道17!$D$2:$D$403)</f>
        <v>3.25217051811681e-9</v>
      </c>
      <c r="C74" s="10">
        <f t="shared" si="1"/>
        <v>1.05766130789082e-17</v>
      </c>
    </row>
    <row r="75" spans="1:3">
      <c r="A75" s="11" t="s">
        <v>103</v>
      </c>
      <c r="B75" s="10">
        <f>SUMIF(格道17!$C$2:$C$403,A75,格道17!$D$2:$D$403)</f>
        <v>0.00266596027788522</v>
      </c>
      <c r="C75" s="10">
        <f t="shared" si="1"/>
        <v>7.10734420326185e-6</v>
      </c>
    </row>
    <row r="76" spans="1:3">
      <c r="A76" s="11" t="s">
        <v>424</v>
      </c>
      <c r="B76" s="10">
        <f>SUMIF(格道17!$C$2:$C$403,A76,格道17!$D$2:$D$403)</f>
        <v>0.00787254218188744</v>
      </c>
      <c r="C76" s="10">
        <f t="shared" si="1"/>
        <v>6.19769204055971e-5</v>
      </c>
    </row>
    <row r="77" spans="1:3">
      <c r="A77" s="11" t="s">
        <v>61</v>
      </c>
      <c r="B77" s="10">
        <f>SUMIF(格道17!$C$2:$C$403,A77,格道17!$D$2:$D$403)</f>
        <v>0.00383717420308618</v>
      </c>
      <c r="C77" s="10">
        <f t="shared" si="1"/>
        <v>1.47239058648301e-5</v>
      </c>
    </row>
    <row r="78" spans="1:3">
      <c r="A78" s="11" t="s">
        <v>430</v>
      </c>
      <c r="B78" s="10">
        <f>SUMIF(格道17!$C$2:$C$403,A78,格道17!$D$2:$D$403)</f>
        <v>0.00801624258840095</v>
      </c>
      <c r="C78" s="10">
        <f t="shared" si="1"/>
        <v>6.42601452360932e-5</v>
      </c>
    </row>
    <row r="79" spans="1:3">
      <c r="A79" s="11" t="s">
        <v>426</v>
      </c>
      <c r="B79" s="10">
        <f>SUMIF(格道17!$C$2:$C$403,A79,格道17!$D$2:$D$403)</f>
        <v>0.0411338592344562</v>
      </c>
      <c r="C79" s="10">
        <f t="shared" si="1"/>
        <v>0.00169199437552006</v>
      </c>
    </row>
    <row r="80" spans="1:3">
      <c r="A80" s="11" t="s">
        <v>436</v>
      </c>
      <c r="B80" s="10">
        <f>SUMIF(格道17!$C$2:$C$403,A80,格道17!$D$2:$D$403)</f>
        <v>0.0012125620211683</v>
      </c>
      <c r="C80" s="10">
        <f t="shared" si="1"/>
        <v>1.47030665517975e-6</v>
      </c>
    </row>
    <row r="81" spans="1:3">
      <c r="A81" s="11" t="s">
        <v>420</v>
      </c>
      <c r="B81" s="10">
        <f>SUMIF(格道17!$C$2:$C$403,A81,格道17!$D$2:$D$403)</f>
        <v>0.00300484295021403</v>
      </c>
      <c r="C81" s="10">
        <f t="shared" si="1"/>
        <v>9.02908115545096e-6</v>
      </c>
    </row>
    <row r="82" spans="1:3">
      <c r="A82" s="11" t="s">
        <v>422</v>
      </c>
      <c r="B82" s="10">
        <f>SUMIF(格道17!$C$2:$C$403,A82,格道17!$D$2:$D$403)</f>
        <v>0.00289995394666373</v>
      </c>
      <c r="C82" s="10">
        <f t="shared" si="1"/>
        <v>8.40973289277053e-6</v>
      </c>
    </row>
    <row r="83" spans="1:3">
      <c r="A83" s="11" t="s">
        <v>522</v>
      </c>
      <c r="B83" s="10">
        <f>SUMIF(格道17!$C$2:$C$403,A83,格道17!$D$2:$D$403)</f>
        <v>0.00110156218921445</v>
      </c>
      <c r="C83" s="10">
        <f t="shared" si="1"/>
        <v>1.21343925670694e-6</v>
      </c>
    </row>
    <row r="84" spans="1:3">
      <c r="A84" s="11" t="s">
        <v>518</v>
      </c>
      <c r="B84" s="10">
        <f>SUMIF(格道17!$C$2:$C$403,A84,格道17!$D$2:$D$403)</f>
        <v>0.00212928709898559</v>
      </c>
      <c r="C84" s="10">
        <f t="shared" si="1"/>
        <v>4.53386354990645e-6</v>
      </c>
    </row>
    <row r="85" spans="1:3">
      <c r="A85" s="11" t="s">
        <v>181</v>
      </c>
      <c r="B85" s="10">
        <f>SUMIF(格道17!$C$2:$C$403,A85,格道17!$D$2:$D$403)</f>
        <v>0.00235748214773029</v>
      </c>
      <c r="C85" s="10">
        <f t="shared" si="1"/>
        <v>5.55772207686701e-6</v>
      </c>
    </row>
    <row r="86" spans="1:3">
      <c r="A86" s="11" t="s">
        <v>114</v>
      </c>
      <c r="B86" s="10">
        <f>SUMIF(格道17!$C$2:$C$403,A86,格道17!$D$2:$D$403)</f>
        <v>0.00298976588769204</v>
      </c>
      <c r="C86" s="10">
        <f t="shared" si="1"/>
        <v>8.93870006320698e-6</v>
      </c>
    </row>
    <row r="87" spans="1:3">
      <c r="A87" s="11" t="s">
        <v>524</v>
      </c>
      <c r="B87" s="10">
        <f>SUMIF(格道17!$C$2:$C$403,A87,格道17!$D$2:$D$403)</f>
        <v>0.00207053989074632</v>
      </c>
      <c r="C87" s="10">
        <f t="shared" si="1"/>
        <v>4.2871354391718e-6</v>
      </c>
    </row>
    <row r="88" spans="1:3">
      <c r="A88" s="11" t="s">
        <v>506</v>
      </c>
      <c r="B88" s="10">
        <f>SUMIF(格道17!$C$2:$C$403,A88,格道17!$D$2:$D$403)</f>
        <v>0.00497316712157594</v>
      </c>
      <c r="C88" s="10">
        <f t="shared" si="1"/>
        <v>2.47323912191239e-5</v>
      </c>
    </row>
    <row r="89" spans="1:3">
      <c r="A89" s="11" t="s">
        <v>504</v>
      </c>
      <c r="B89" s="10">
        <f>SUMIF(格道17!$C$2:$C$403,A89,格道17!$D$2:$D$403)</f>
        <v>0.00122151199443416</v>
      </c>
      <c r="C89" s="10">
        <f t="shared" si="1"/>
        <v>1.49209155254651e-6</v>
      </c>
    </row>
    <row r="90" spans="1:3">
      <c r="A90" s="11" t="s">
        <v>214</v>
      </c>
      <c r="B90" s="10">
        <f>SUMIF(格道17!$C$2:$C$403,A90,格道17!$D$2:$D$403)</f>
        <v>0.00114271840712122</v>
      </c>
      <c r="C90" s="10">
        <f t="shared" si="1"/>
        <v>1.30580535797367e-6</v>
      </c>
    </row>
    <row r="91" spans="1:3">
      <c r="A91" s="11" t="s">
        <v>520</v>
      </c>
      <c r="B91" s="10">
        <f>SUMIF(格道17!$C$2:$C$403,A91,格道17!$D$2:$D$403)</f>
        <v>0.00365709501715702</v>
      </c>
      <c r="C91" s="10">
        <f t="shared" si="1"/>
        <v>1.33743439645147e-5</v>
      </c>
    </row>
    <row r="92" spans="1:3">
      <c r="A92" s="11" t="s">
        <v>200</v>
      </c>
      <c r="B92" s="10">
        <f>SUMIF(格道17!$C$2:$C$403,A92,格道17!$D$2:$D$403)</f>
        <v>0.00130741807867021</v>
      </c>
      <c r="C92" s="10">
        <f t="shared" si="1"/>
        <v>1.70934203243371e-6</v>
      </c>
    </row>
    <row r="93" spans="1:3">
      <c r="A93" s="11" t="s">
        <v>512</v>
      </c>
      <c r="B93" s="10">
        <f>SUMIF(格道17!$C$2:$C$403,A93,格道17!$D$2:$D$403)</f>
        <v>0.00162188670691952</v>
      </c>
      <c r="C93" s="10">
        <f t="shared" si="1"/>
        <v>2.63051649008224e-6</v>
      </c>
    </row>
    <row r="94" spans="1:3">
      <c r="A94" s="11" t="s">
        <v>139</v>
      </c>
      <c r="B94" s="10">
        <f>SUMIF(格道17!$C$2:$C$403,A94,格道17!$D$2:$D$403)</f>
        <v>0.00239124292987886</v>
      </c>
      <c r="C94" s="10">
        <f t="shared" si="1"/>
        <v>5.71804274969563e-6</v>
      </c>
    </row>
    <row r="95" spans="1:3">
      <c r="A95" s="11" t="s">
        <v>516</v>
      </c>
      <c r="B95" s="10">
        <f>SUMIF(格道17!$C$2:$C$403,A95,格道17!$D$2:$D$403)</f>
        <v>0.0123783268696227</v>
      </c>
      <c r="C95" s="10">
        <f t="shared" si="1"/>
        <v>0.000153222976091224</v>
      </c>
    </row>
    <row r="96" spans="1:3">
      <c r="A96" s="11" t="s">
        <v>514</v>
      </c>
      <c r="B96" s="10">
        <f>SUMIF(格道17!$C$2:$C$403,A96,格道17!$D$2:$D$403)</f>
        <v>0.0106067655189479</v>
      </c>
      <c r="C96" s="10">
        <f t="shared" si="1"/>
        <v>0.000112503474773943</v>
      </c>
    </row>
    <row r="97" spans="1:3">
      <c r="A97" s="11" t="s">
        <v>85</v>
      </c>
      <c r="B97" s="10">
        <f>SUMIF(格道17!$C$2:$C$403,A97,格道17!$D$2:$D$403)</f>
        <v>0.00312545294604891</v>
      </c>
      <c r="C97" s="10">
        <f t="shared" si="1"/>
        <v>9.76845611796581e-6</v>
      </c>
    </row>
    <row r="98" spans="1:3">
      <c r="A98" s="11" t="s">
        <v>508</v>
      </c>
      <c r="B98" s="10">
        <f>SUMIF(格道17!$C$2:$C$403,A98,格道17!$D$2:$D$403)</f>
        <v>0.000863555342016594</v>
      </c>
      <c r="C98" s="10">
        <f t="shared" si="1"/>
        <v>7.45727828725396e-7</v>
      </c>
    </row>
    <row r="99" spans="1:3">
      <c r="A99" s="11" t="s">
        <v>510</v>
      </c>
      <c r="B99" s="10">
        <f>SUMIF(格道17!$C$2:$C$403,A99,格道17!$D$2:$D$403)</f>
        <v>0.000342053538583972</v>
      </c>
      <c r="C99" s="10">
        <f t="shared" si="1"/>
        <v>1.17000623257817e-7</v>
      </c>
    </row>
    <row r="100" spans="1:3">
      <c r="A100" s="11" t="s">
        <v>414</v>
      </c>
      <c r="B100" s="10">
        <f>SUMIF(格道17!$C$2:$C$403,A100,格道17!$D$2:$D$403)</f>
        <v>0.000129085152205093</v>
      </c>
      <c r="C100" s="10">
        <f t="shared" si="1"/>
        <v>1.66629765198119e-8</v>
      </c>
    </row>
    <row r="101" spans="1:3">
      <c r="A101" s="11" t="s">
        <v>412</v>
      </c>
      <c r="B101" s="10">
        <f>SUMIF(格道17!$C$2:$C$403,A101,格道17!$D$2:$D$403)</f>
        <v>0.000826516371985762</v>
      </c>
      <c r="C101" s="10">
        <f t="shared" si="1"/>
        <v>6.83129313160506e-7</v>
      </c>
    </row>
    <row r="102" spans="1:3">
      <c r="A102" s="11" t="s">
        <v>266</v>
      </c>
      <c r="B102" s="10">
        <f>SUMIF(格道17!$C$2:$C$403,A102,格道17!$D$2:$D$403)</f>
        <v>0.000501848936991642</v>
      </c>
      <c r="C102" s="10">
        <f t="shared" si="1"/>
        <v>2.51852355559641e-7</v>
      </c>
    </row>
    <row r="103" spans="1:3">
      <c r="A103" s="11" t="s">
        <v>416</v>
      </c>
      <c r="B103" s="10">
        <f>SUMIF(格道17!$C$2:$C$403,A103,格道17!$D$2:$D$403)</f>
        <v>2.1659455650658e-5</v>
      </c>
      <c r="C103" s="10">
        <f t="shared" si="1"/>
        <v>4.6913201908282e-10</v>
      </c>
    </row>
    <row r="104" spans="1:3">
      <c r="A104" s="11" t="s">
        <v>408</v>
      </c>
      <c r="B104" s="10">
        <f>SUMIF(格道17!$C$2:$C$403,A104,格道17!$D$2:$D$403)</f>
        <v>0.0063995918760156</v>
      </c>
      <c r="C104" s="10">
        <f t="shared" si="1"/>
        <v>4.09547761795649e-5</v>
      </c>
    </row>
    <row r="105" spans="1:3">
      <c r="A105" s="11" t="s">
        <v>388</v>
      </c>
      <c r="B105" s="10">
        <f>SUMIF(格道17!$C$2:$C$403,A105,格道17!$D$2:$D$403)</f>
        <v>8.36815996016637e-5</v>
      </c>
      <c r="C105" s="10">
        <f t="shared" si="1"/>
        <v>7.00261011189317e-9</v>
      </c>
    </row>
    <row r="106" spans="1:3">
      <c r="A106" s="11" t="s">
        <v>386</v>
      </c>
      <c r="B106" s="10">
        <f>SUMIF(格道17!$C$2:$C$403,A106,格道17!$D$2:$D$403)</f>
        <v>0.00132067717787258</v>
      </c>
      <c r="C106" s="10">
        <f t="shared" si="1"/>
        <v>1.74418820815347e-6</v>
      </c>
    </row>
    <row r="107" spans="1:3">
      <c r="A107" s="11" t="s">
        <v>400</v>
      </c>
      <c r="B107" s="10">
        <f>SUMIF(格道17!$C$2:$C$403,A107,格道17!$D$2:$D$403)</f>
        <v>0.00580935219651207</v>
      </c>
      <c r="C107" s="10">
        <f t="shared" si="1"/>
        <v>3.37485729431196e-5</v>
      </c>
    </row>
    <row r="108" spans="1:3">
      <c r="A108" s="11" t="s">
        <v>398</v>
      </c>
      <c r="B108" s="10">
        <f>SUMIF(格道17!$C$2:$C$403,A108,格道17!$D$2:$D$403)</f>
        <v>0.000845021222233846</v>
      </c>
      <c r="C108" s="10">
        <f t="shared" si="1"/>
        <v>7.14060866025583e-7</v>
      </c>
    </row>
    <row r="109" spans="1:3">
      <c r="A109" s="11" t="s">
        <v>406</v>
      </c>
      <c r="B109" s="10">
        <f>SUMIF(格道17!$C$2:$C$403,A109,格道17!$D$2:$D$403)</f>
        <v>0.000437179526238889</v>
      </c>
      <c r="C109" s="10">
        <f t="shared" si="1"/>
        <v>1.91125938162459e-7</v>
      </c>
    </row>
    <row r="110" spans="1:3">
      <c r="A110" s="11" t="s">
        <v>394</v>
      </c>
      <c r="B110" s="10">
        <f>SUMIF(格道17!$C$2:$C$403,A110,格道17!$D$2:$D$403)</f>
        <v>0.000808639190647673</v>
      </c>
      <c r="C110" s="10">
        <f t="shared" si="1"/>
        <v>6.53897340651324e-7</v>
      </c>
    </row>
    <row r="111" spans="1:3">
      <c r="A111" s="11" t="s">
        <v>404</v>
      </c>
      <c r="B111" s="10">
        <f>SUMIF(格道17!$C$2:$C$403,A111,格道17!$D$2:$D$403)</f>
        <v>0.000689304045655895</v>
      </c>
      <c r="C111" s="10">
        <f t="shared" si="1"/>
        <v>4.75140067357584e-7</v>
      </c>
    </row>
    <row r="112" spans="1:3">
      <c r="A112" s="11" t="s">
        <v>402</v>
      </c>
      <c r="B112" s="10">
        <f>SUMIF(格道17!$C$2:$C$403,A112,格道17!$D$2:$D$403)</f>
        <v>0.00161010084096186</v>
      </c>
      <c r="C112" s="10">
        <f t="shared" si="1"/>
        <v>2.5924247180661e-6</v>
      </c>
    </row>
    <row r="113" spans="1:3">
      <c r="A113" s="11" t="s">
        <v>396</v>
      </c>
      <c r="B113" s="10">
        <f>SUMIF(格道17!$C$2:$C$403,A113,格道17!$D$2:$D$403)</f>
        <v>0.00114076710481035</v>
      </c>
      <c r="C113" s="10">
        <f t="shared" si="1"/>
        <v>1.3013495874174e-6</v>
      </c>
    </row>
    <row r="114" spans="1:3">
      <c r="A114" s="11" t="s">
        <v>410</v>
      </c>
      <c r="B114" s="10">
        <f>SUMIF(格道17!$C$2:$C$403,A114,格道17!$D$2:$D$403)</f>
        <v>0.00131782502432819</v>
      </c>
      <c r="C114" s="10">
        <f t="shared" si="1"/>
        <v>1.73666279474559e-6</v>
      </c>
    </row>
    <row r="115" spans="1:3">
      <c r="A115" s="11" t="s">
        <v>390</v>
      </c>
      <c r="B115" s="10">
        <f>SUMIF(格道17!$C$2:$C$403,A115,格道17!$D$2:$D$403)</f>
        <v>0.0024691584311519</v>
      </c>
      <c r="C115" s="10">
        <f t="shared" si="1"/>
        <v>6.09674335812852e-6</v>
      </c>
    </row>
    <row r="116" spans="1:3">
      <c r="A116" s="11" t="s">
        <v>392</v>
      </c>
      <c r="B116" s="10">
        <f>SUMIF(格道17!$C$2:$C$403,A116,格道17!$D$2:$D$403)</f>
        <v>0.00596168711575118</v>
      </c>
      <c r="C116" s="10">
        <f t="shared" si="1"/>
        <v>3.55417132661136e-5</v>
      </c>
    </row>
    <row r="117" spans="1:3">
      <c r="A117" s="11" t="s">
        <v>576</v>
      </c>
      <c r="B117" s="10">
        <f>SUMIF(格道17!$C$2:$C$403,A117,格道17!$D$2:$D$403)</f>
        <v>0.00192928836863296</v>
      </c>
      <c r="C117" s="10">
        <f t="shared" si="1"/>
        <v>3.72215360934241e-6</v>
      </c>
    </row>
    <row r="118" spans="1:3">
      <c r="A118" s="11" t="s">
        <v>574</v>
      </c>
      <c r="B118" s="10">
        <f>SUMIF(格道17!$C$2:$C$403,A118,格道17!$D$2:$D$403)</f>
        <v>0.000467545042366546</v>
      </c>
      <c r="C118" s="10">
        <f t="shared" si="1"/>
        <v>2.18598366641535e-7</v>
      </c>
    </row>
    <row r="119" spans="1:3">
      <c r="A119" s="11" t="s">
        <v>310</v>
      </c>
      <c r="B119" s="10">
        <f>SUMIF(格道17!$C$2:$C$403,A119,格道17!$D$2:$D$403)</f>
        <v>0.000344752840114009</v>
      </c>
      <c r="C119" s="10">
        <f t="shared" si="1"/>
        <v>1.18854520766676e-7</v>
      </c>
    </row>
    <row r="120" spans="1:3">
      <c r="A120" s="11" t="s">
        <v>578</v>
      </c>
      <c r="B120" s="10">
        <f>SUMIF(格道17!$C$2:$C$403,A120,格道17!$D$2:$D$403)</f>
        <v>0.00390630233961928</v>
      </c>
      <c r="C120" s="10">
        <f t="shared" si="1"/>
        <v>1.5259197968515e-5</v>
      </c>
    </row>
    <row r="121" spans="1:3">
      <c r="A121" s="11" t="s">
        <v>570</v>
      </c>
      <c r="B121" s="10">
        <f>SUMIF(格道17!$C$2:$C$403,A121,格道17!$D$2:$D$403)</f>
        <v>0.00487549143223482</v>
      </c>
      <c r="C121" s="10">
        <f t="shared" si="1"/>
        <v>2.37704167057952e-5</v>
      </c>
    </row>
    <row r="122" spans="1:3">
      <c r="A122" s="11" t="s">
        <v>554</v>
      </c>
      <c r="B122" s="10">
        <f>SUMIF(格道17!$C$2:$C$403,A122,格道17!$D$2:$D$403)</f>
        <v>2.16854730148029e-5</v>
      </c>
      <c r="C122" s="10">
        <f t="shared" si="1"/>
        <v>4.70259739875746e-10</v>
      </c>
    </row>
    <row r="123" spans="1:3">
      <c r="A123" s="11" t="s">
        <v>552</v>
      </c>
      <c r="B123" s="10">
        <f>SUMIF(格道17!$C$2:$C$403,A123,格道17!$D$2:$D$403)</f>
        <v>0.000729003291170547</v>
      </c>
      <c r="C123" s="10">
        <f t="shared" si="1"/>
        <v>5.31445798537489e-7</v>
      </c>
    </row>
    <row r="124" spans="1:3">
      <c r="A124" s="11" t="s">
        <v>564</v>
      </c>
      <c r="B124" s="10">
        <f>SUMIF(格道17!$C$2:$C$403,A124,格道17!$D$2:$D$403)</f>
        <v>0.00623039120046954</v>
      </c>
      <c r="C124" s="10">
        <f t="shared" si="1"/>
        <v>3.88177745108883e-5</v>
      </c>
    </row>
    <row r="125" spans="1:3">
      <c r="A125" s="11" t="s">
        <v>562</v>
      </c>
      <c r="B125" s="10">
        <f>SUMIF(格道17!$C$2:$C$403,A125,格道17!$D$2:$D$403)</f>
        <v>0.00429553186373905</v>
      </c>
      <c r="C125" s="10">
        <f t="shared" si="1"/>
        <v>1.84515939923975e-5</v>
      </c>
    </row>
    <row r="126" spans="1:3">
      <c r="A126" s="11" t="s">
        <v>568</v>
      </c>
      <c r="B126" s="10">
        <f>SUMIF(格道17!$C$2:$C$403,A126,格道17!$D$2:$D$403)</f>
        <v>0.00428322890266902</v>
      </c>
      <c r="C126" s="10">
        <f t="shared" si="1"/>
        <v>1.83460498326592e-5</v>
      </c>
    </row>
    <row r="127" spans="1:3">
      <c r="A127" s="11" t="s">
        <v>558</v>
      </c>
      <c r="B127" s="10">
        <f>SUMIF(格道17!$C$2:$C$403,A127,格道17!$D$2:$D$403)</f>
        <v>0.00132725957100124</v>
      </c>
      <c r="C127" s="10">
        <f t="shared" si="1"/>
        <v>1.76161796881441e-6</v>
      </c>
    </row>
    <row r="128" spans="1:3">
      <c r="A128" s="11" t="s">
        <v>566</v>
      </c>
      <c r="B128" s="10">
        <f>SUMIF(格道17!$C$2:$C$403,A128,格道17!$D$2:$D$403)</f>
        <v>0.034212576929118</v>
      </c>
      <c r="C128" s="10">
        <f t="shared" si="1"/>
        <v>0.00117050042013081</v>
      </c>
    </row>
    <row r="129" spans="1:3">
      <c r="A129" s="11" t="s">
        <v>560</v>
      </c>
      <c r="B129" s="10">
        <f>SUMIF(格道17!$C$2:$C$403,A129,格道17!$D$2:$D$403)</f>
        <v>0.00360564893173093</v>
      </c>
      <c r="C129" s="10">
        <f t="shared" si="1"/>
        <v>1.30007042188924e-5</v>
      </c>
    </row>
    <row r="130" spans="1:3">
      <c r="A130" s="11" t="s">
        <v>572</v>
      </c>
      <c r="B130" s="10">
        <f>SUMIF(格道17!$C$2:$C$403,A130,格道17!$D$2:$D$403)</f>
        <v>1.71974776998017e-5</v>
      </c>
      <c r="C130" s="10">
        <f t="shared" si="1"/>
        <v>2.95753239235177e-10</v>
      </c>
    </row>
    <row r="131" spans="1:3">
      <c r="A131" s="11" t="s">
        <v>556</v>
      </c>
      <c r="B131" s="10">
        <f>SUMIF(格道17!$C$2:$C$403,A131,格道17!$D$2:$D$403)</f>
        <v>0.00152950229901137</v>
      </c>
      <c r="C131" s="10">
        <f t="shared" ref="C131:C194" si="2">B131*B131</f>
        <v>2.33937728268108e-6</v>
      </c>
    </row>
    <row r="132" spans="1:3">
      <c r="A132" s="11" t="s">
        <v>20</v>
      </c>
      <c r="B132" s="10">
        <f>SUMIF(格道17!$C$2:$C$403,A132,格道17!$D$2:$D$403)</f>
        <v>0.00676836849974694</v>
      </c>
      <c r="C132" s="10">
        <f t="shared" si="2"/>
        <v>4.58108121483667e-5</v>
      </c>
    </row>
    <row r="133" spans="1:3">
      <c r="A133" s="11" t="s">
        <v>682</v>
      </c>
      <c r="B133" s="10">
        <f>SUMIF(格道17!$C$2:$C$403,A133,格道17!$D$2:$D$403)</f>
        <v>0.000240423209892822</v>
      </c>
      <c r="C133" s="10">
        <f t="shared" si="2"/>
        <v>5.78033198551678e-8</v>
      </c>
    </row>
    <row r="134" spans="1:3">
      <c r="A134" s="11" t="s">
        <v>680</v>
      </c>
      <c r="B134" s="10">
        <f>SUMIF(格道17!$C$2:$C$403,A134,格道17!$D$2:$D$403)</f>
        <v>0.0010999003300797</v>
      </c>
      <c r="C134" s="10">
        <f t="shared" si="2"/>
        <v>1.20978073610943e-6</v>
      </c>
    </row>
    <row r="135" spans="1:3">
      <c r="A135" s="11" t="s">
        <v>259</v>
      </c>
      <c r="B135" s="10">
        <f>SUMIF(格道17!$C$2:$C$403,A135,格道17!$D$2:$D$403)</f>
        <v>0.000567139512313355</v>
      </c>
      <c r="C135" s="10">
        <f t="shared" si="2"/>
        <v>3.2164722642703e-7</v>
      </c>
    </row>
    <row r="136" spans="1:3">
      <c r="A136" s="11" t="s">
        <v>684</v>
      </c>
      <c r="B136" s="10">
        <f>SUMIF(格道17!$C$2:$C$403,A136,格道17!$D$2:$D$403)</f>
        <v>0.000208454373699733</v>
      </c>
      <c r="C136" s="10">
        <f t="shared" si="2"/>
        <v>4.34532259145481e-8</v>
      </c>
    </row>
    <row r="137" spans="1:3">
      <c r="A137" s="11" t="s">
        <v>676</v>
      </c>
      <c r="B137" s="10">
        <f>SUMIF(格道17!$C$2:$C$403,A137,格道17!$D$2:$D$403)</f>
        <v>0.00551881629110558</v>
      </c>
      <c r="C137" s="10">
        <f t="shared" si="2"/>
        <v>3.04573332549724e-5</v>
      </c>
    </row>
    <row r="138" spans="1:3">
      <c r="A138" s="11" t="s">
        <v>658</v>
      </c>
      <c r="B138" s="10">
        <f>SUMIF(格道17!$C$2:$C$403,A138,格道17!$D$2:$D$403)</f>
        <v>0.000297534576361471</v>
      </c>
      <c r="C138" s="10">
        <f t="shared" si="2"/>
        <v>8.85268241306001e-8</v>
      </c>
    </row>
    <row r="139" spans="1:3">
      <c r="A139" s="11" t="s">
        <v>656</v>
      </c>
      <c r="B139" s="10">
        <f>SUMIF(格道17!$C$2:$C$403,A139,格道17!$D$2:$D$403)</f>
        <v>0.000233736747307574</v>
      </c>
      <c r="C139" s="10">
        <f t="shared" si="2"/>
        <v>5.46328670419245e-8</v>
      </c>
    </row>
    <row r="140" spans="1:3">
      <c r="A140" s="11" t="s">
        <v>668</v>
      </c>
      <c r="B140" s="10">
        <f>SUMIF(格道17!$C$2:$C$403,A140,格道17!$D$2:$D$403)</f>
        <v>0.00561514883402272</v>
      </c>
      <c r="C140" s="10">
        <f t="shared" si="2"/>
        <v>3.15298964282267e-5</v>
      </c>
    </row>
    <row r="141" spans="1:3">
      <c r="A141" s="11" t="s">
        <v>666</v>
      </c>
      <c r="B141" s="10">
        <f>SUMIF(格道17!$C$2:$C$403,A141,格道17!$D$2:$D$403)</f>
        <v>0.00207629298039287</v>
      </c>
      <c r="C141" s="10">
        <f t="shared" si="2"/>
        <v>4.31099254042872e-6</v>
      </c>
    </row>
    <row r="142" spans="1:3">
      <c r="A142" s="11" t="s">
        <v>674</v>
      </c>
      <c r="B142" s="10">
        <f>SUMIF(格道17!$C$2:$C$403,A142,格道17!$D$2:$D$403)</f>
        <v>0.00149352353656945</v>
      </c>
      <c r="C142" s="10">
        <f t="shared" si="2"/>
        <v>2.23061255428691e-6</v>
      </c>
    </row>
    <row r="143" spans="1:3">
      <c r="A143" s="11" t="s">
        <v>662</v>
      </c>
      <c r="B143" s="10">
        <f>SUMIF(格道17!$C$2:$C$403,A143,格道17!$D$2:$D$403)</f>
        <v>0.00136887759712158</v>
      </c>
      <c r="C143" s="10">
        <f t="shared" si="2"/>
        <v>1.87382587590136e-6</v>
      </c>
    </row>
    <row r="144" spans="1:3">
      <c r="A144" s="11" t="s">
        <v>672</v>
      </c>
      <c r="B144" s="10">
        <f>SUMIF(格道17!$C$2:$C$403,A144,格道17!$D$2:$D$403)</f>
        <v>0.0122895393623076</v>
      </c>
      <c r="C144" s="10">
        <f t="shared" si="2"/>
        <v>0.000151032777737709</v>
      </c>
    </row>
    <row r="145" spans="1:3">
      <c r="A145" s="11" t="s">
        <v>670</v>
      </c>
      <c r="B145" s="10">
        <f>SUMIF(格道17!$C$2:$C$403,A145,格道17!$D$2:$D$403)</f>
        <v>0.0150167607762426</v>
      </c>
      <c r="C145" s="10">
        <f t="shared" si="2"/>
        <v>0.000225503104210899</v>
      </c>
    </row>
    <row r="146" spans="1:3">
      <c r="A146" s="11" t="s">
        <v>664</v>
      </c>
      <c r="B146" s="10">
        <f>SUMIF(格道17!$C$2:$C$403,A146,格道17!$D$2:$D$403)</f>
        <v>0.0115842964289425</v>
      </c>
      <c r="C146" s="10">
        <f t="shared" si="2"/>
        <v>0.000134195923753609</v>
      </c>
    </row>
    <row r="147" spans="1:3">
      <c r="A147" s="11" t="s">
        <v>678</v>
      </c>
      <c r="B147" s="10">
        <f>SUMIF(格道17!$C$2:$C$403,A147,格道17!$D$2:$D$403)</f>
        <v>0.00131470294063079</v>
      </c>
      <c r="C147" s="10">
        <f t="shared" si="2"/>
        <v>1.72844382210326e-6</v>
      </c>
    </row>
    <row r="148" spans="1:3">
      <c r="A148" s="11" t="s">
        <v>660</v>
      </c>
      <c r="B148" s="10">
        <f>SUMIF(格道17!$C$2:$C$403,A148,格道17!$D$2:$D$403)</f>
        <v>0.00373877978406056</v>
      </c>
      <c r="C148" s="10">
        <f t="shared" si="2"/>
        <v>1.39784742736999e-5</v>
      </c>
    </row>
    <row r="149" spans="1:3">
      <c r="A149" s="11" t="s">
        <v>151</v>
      </c>
      <c r="B149" s="10">
        <f>SUMIF(格道17!$C$2:$C$403,A149,格道17!$D$2:$D$403)</f>
        <v>0.00201772138936159</v>
      </c>
      <c r="C149" s="10">
        <f t="shared" si="2"/>
        <v>4.07119960508726e-6</v>
      </c>
    </row>
    <row r="150" spans="1:3">
      <c r="A150" s="11" t="s">
        <v>608</v>
      </c>
      <c r="B150" s="10">
        <f>SUMIF(格道17!$C$2:$C$403,A150,格道17!$D$2:$D$403)</f>
        <v>0.00552116110604914</v>
      </c>
      <c r="C150" s="10">
        <f t="shared" si="2"/>
        <v>3.04832199589498e-5</v>
      </c>
    </row>
    <row r="151" spans="1:3">
      <c r="A151" s="11" t="s">
        <v>600</v>
      </c>
      <c r="B151" s="10">
        <f>SUMIF(格道17!$C$2:$C$403,A151,格道17!$D$2:$D$403)</f>
        <v>0.00628360321448697</v>
      </c>
      <c r="C151" s="10">
        <f t="shared" si="2"/>
        <v>3.9483669357111e-5</v>
      </c>
    </row>
    <row r="152" spans="1:3">
      <c r="A152" s="11" t="s">
        <v>622</v>
      </c>
      <c r="B152" s="10">
        <f>SUMIF(格道17!$C$2:$C$403,A152,格道17!$D$2:$D$403)</f>
        <v>0.00114031505310833</v>
      </c>
      <c r="C152" s="10">
        <f t="shared" si="2"/>
        <v>1.30031842034546e-6</v>
      </c>
    </row>
    <row r="153" spans="1:3">
      <c r="A153" s="11" t="s">
        <v>610</v>
      </c>
      <c r="B153" s="10">
        <f>SUMIF(格道17!$C$2:$C$403,A153,格道17!$D$2:$D$403)</f>
        <v>0.00704167115357792</v>
      </c>
      <c r="C153" s="10">
        <f t="shared" si="2"/>
        <v>4.95851326351315e-5</v>
      </c>
    </row>
    <row r="154" spans="1:3">
      <c r="A154" s="11" t="s">
        <v>616</v>
      </c>
      <c r="B154" s="10">
        <f>SUMIF(格道17!$C$2:$C$403,A154,格道17!$D$2:$D$403)</f>
        <v>0.00274861744377368</v>
      </c>
      <c r="C154" s="10">
        <f t="shared" si="2"/>
        <v>7.55489785221696e-6</v>
      </c>
    </row>
    <row r="155" spans="1:3">
      <c r="A155" s="11" t="s">
        <v>620</v>
      </c>
      <c r="B155" s="10">
        <f>SUMIF(格道17!$C$2:$C$403,A155,格道17!$D$2:$D$403)</f>
        <v>0.00324702883652767</v>
      </c>
      <c r="C155" s="10">
        <f t="shared" si="2"/>
        <v>1.05431962652422e-5</v>
      </c>
    </row>
    <row r="156" spans="1:3">
      <c r="A156" s="11" t="s">
        <v>598</v>
      </c>
      <c r="B156" s="10">
        <f>SUMIF(格道17!$C$2:$C$403,A156,格道17!$D$2:$D$403)</f>
        <v>0.00303008304560513</v>
      </c>
      <c r="C156" s="10">
        <f t="shared" si="2"/>
        <v>9.18140326326369e-6</v>
      </c>
    </row>
    <row r="157" spans="1:3">
      <c r="A157" s="11" t="s">
        <v>606</v>
      </c>
      <c r="B157" s="10">
        <f>SUMIF(格道17!$C$2:$C$403,A157,格道17!$D$2:$D$403)</f>
        <v>0.00331530815655553</v>
      </c>
      <c r="C157" s="10">
        <f t="shared" si="2"/>
        <v>1.09912681729237e-5</v>
      </c>
    </row>
    <row r="158" spans="1:3">
      <c r="A158" s="11" t="s">
        <v>602</v>
      </c>
      <c r="B158" s="10">
        <f>SUMIF(格道17!$C$2:$C$403,A158,格道17!$D$2:$D$403)</f>
        <v>0.0075412825972531</v>
      </c>
      <c r="C158" s="10">
        <f t="shared" si="2"/>
        <v>5.68709432116325e-5</v>
      </c>
    </row>
    <row r="159" spans="1:3">
      <c r="A159" s="11" t="s">
        <v>604</v>
      </c>
      <c r="B159" s="10">
        <f>SUMIF(格道17!$C$2:$C$403,A159,格道17!$D$2:$D$403)</f>
        <v>0.00461005252671665</v>
      </c>
      <c r="C159" s="10">
        <f t="shared" si="2"/>
        <v>2.12525842990865e-5</v>
      </c>
    </row>
    <row r="160" spans="1:3">
      <c r="A160" s="11" t="s">
        <v>612</v>
      </c>
      <c r="B160" s="10">
        <f>SUMIF(格道17!$C$2:$C$403,A160,格道17!$D$2:$D$403)</f>
        <v>0.000403688674243322</v>
      </c>
      <c r="C160" s="10">
        <f t="shared" si="2"/>
        <v>1.62964545712331e-7</v>
      </c>
    </row>
    <row r="161" spans="1:3">
      <c r="A161" s="11" t="s">
        <v>614</v>
      </c>
      <c r="B161" s="10">
        <f>SUMIF(格道17!$C$2:$C$403,A161,格道17!$D$2:$D$403)</f>
        <v>0.000719763874728577</v>
      </c>
      <c r="C161" s="10">
        <f t="shared" si="2"/>
        <v>5.18060035364295e-7</v>
      </c>
    </row>
    <row r="162" spans="1:3">
      <c r="A162" s="11" t="s">
        <v>596</v>
      </c>
      <c r="B162" s="10">
        <f>SUMIF(格道17!$C$2:$C$403,A162,格道17!$D$2:$D$403)</f>
        <v>0.00600816063245506</v>
      </c>
      <c r="C162" s="10">
        <f t="shared" si="2"/>
        <v>3.60979941853828e-5</v>
      </c>
    </row>
    <row r="163" spans="1:3">
      <c r="A163" s="11" t="s">
        <v>618</v>
      </c>
      <c r="B163" s="10">
        <f>SUMIF(格道17!$C$2:$C$403,A163,格道17!$D$2:$D$403)</f>
        <v>0.00113979145365492</v>
      </c>
      <c r="C163" s="10">
        <f t="shared" si="2"/>
        <v>1.29912455782479e-6</v>
      </c>
    </row>
    <row r="164" spans="1:3">
      <c r="A164" s="11" t="s">
        <v>378</v>
      </c>
      <c r="B164" s="10">
        <f>SUMIF(格道17!$C$2:$C$403,A164,格道17!$D$2:$D$403)</f>
        <v>0.000243955067075497</v>
      </c>
      <c r="C164" s="10">
        <f t="shared" si="2"/>
        <v>5.951407475181e-8</v>
      </c>
    </row>
    <row r="165" spans="1:3">
      <c r="A165" s="11" t="s">
        <v>374</v>
      </c>
      <c r="B165" s="10">
        <f>SUMIF(格道17!$C$2:$C$403,A165,格道17!$D$2:$D$403)</f>
        <v>0.00256119160464409</v>
      </c>
      <c r="C165" s="10">
        <f t="shared" si="2"/>
        <v>6.55970243569936e-6</v>
      </c>
    </row>
    <row r="166" spans="1:3">
      <c r="A166" s="11" t="s">
        <v>368</v>
      </c>
      <c r="B166" s="10">
        <f>SUMIF(格道17!$C$2:$C$403,A166,格道17!$D$2:$D$403)</f>
        <v>0.00356899696999175</v>
      </c>
      <c r="C166" s="10">
        <f t="shared" si="2"/>
        <v>1.27377393718103e-5</v>
      </c>
    </row>
    <row r="167" spans="1:3">
      <c r="A167" s="11" t="s">
        <v>380</v>
      </c>
      <c r="B167" s="10">
        <f>SUMIF(格道17!$C$2:$C$403,A167,格道17!$D$2:$D$403)</f>
        <v>0.00230566531486513</v>
      </c>
      <c r="C167" s="10">
        <f t="shared" si="2"/>
        <v>5.31609254417213e-6</v>
      </c>
    </row>
    <row r="168" spans="1:3">
      <c r="A168" s="11" t="s">
        <v>384</v>
      </c>
      <c r="B168" s="10">
        <f>SUMIF(格道17!$C$2:$C$403,A168,格道17!$D$2:$D$403)</f>
        <v>0.0132665466728487</v>
      </c>
      <c r="C168" s="10">
        <f t="shared" si="2"/>
        <v>0.000176001260622874</v>
      </c>
    </row>
    <row r="169" spans="1:3">
      <c r="A169" s="11" t="s">
        <v>360</v>
      </c>
      <c r="B169" s="10">
        <f>SUMIF(格道17!$C$2:$C$403,A169,格道17!$D$2:$D$403)</f>
        <v>0.00161416930628003</v>
      </c>
      <c r="C169" s="10">
        <f t="shared" si="2"/>
        <v>2.60554254933654e-6</v>
      </c>
    </row>
    <row r="170" spans="1:3">
      <c r="A170" s="11" t="s">
        <v>358</v>
      </c>
      <c r="B170" s="10">
        <f>SUMIF(格道17!$C$2:$C$403,A170,格道17!$D$2:$D$403)</f>
        <v>0.00321315748058149</v>
      </c>
      <c r="C170" s="10">
        <f t="shared" si="2"/>
        <v>1.03243809950168e-5</v>
      </c>
    </row>
    <row r="171" spans="1:3">
      <c r="A171" s="11" t="s">
        <v>209</v>
      </c>
      <c r="B171" s="10">
        <f>SUMIF(格道17!$C$2:$C$403,A171,格道17!$D$2:$D$403)</f>
        <v>0.000986077614116127</v>
      </c>
      <c r="C171" s="10">
        <f t="shared" si="2"/>
        <v>9.72349061060953e-7</v>
      </c>
    </row>
    <row r="172" spans="1:3">
      <c r="A172" s="11" t="s">
        <v>370</v>
      </c>
      <c r="B172" s="10">
        <f>SUMIF(格道17!$C$2:$C$403,A172,格道17!$D$2:$D$403)</f>
        <v>0.00232485962526306</v>
      </c>
      <c r="C172" s="10">
        <f t="shared" si="2"/>
        <v>5.40497227717829e-6</v>
      </c>
    </row>
    <row r="173" spans="1:3">
      <c r="A173" s="11" t="s">
        <v>376</v>
      </c>
      <c r="B173" s="10">
        <f>SUMIF(格道17!$C$2:$C$403,A173,格道17!$D$2:$D$403)</f>
        <v>0.0020939620228178</v>
      </c>
      <c r="C173" s="10">
        <f t="shared" si="2"/>
        <v>4.38467695300322e-6</v>
      </c>
    </row>
    <row r="174" spans="1:3">
      <c r="A174" s="11" t="s">
        <v>366</v>
      </c>
      <c r="B174" s="10">
        <f>SUMIF(格道17!$C$2:$C$403,A174,格道17!$D$2:$D$403)</f>
        <v>0.00431973126456436</v>
      </c>
      <c r="C174" s="10">
        <f t="shared" si="2"/>
        <v>1.86600781980548e-5</v>
      </c>
    </row>
    <row r="175" spans="1:3">
      <c r="A175" s="11" t="s">
        <v>372</v>
      </c>
      <c r="B175" s="10">
        <f>SUMIF(格道17!$C$2:$C$403,A175,格道17!$D$2:$D$403)</f>
        <v>0.00304404461363941</v>
      </c>
      <c r="C175" s="10">
        <f t="shared" si="2"/>
        <v>9.26620760982711e-6</v>
      </c>
    </row>
    <row r="176" spans="1:3">
      <c r="A176" s="11" t="s">
        <v>382</v>
      </c>
      <c r="B176" s="10">
        <f>SUMIF(格道17!$C$2:$C$403,A176,格道17!$D$2:$D$403)</f>
        <v>0.00117723694500052</v>
      </c>
      <c r="C176" s="10">
        <f t="shared" si="2"/>
        <v>1.38588682467415e-6</v>
      </c>
    </row>
    <row r="177" spans="1:3">
      <c r="A177" s="11" t="s">
        <v>362</v>
      </c>
      <c r="B177" s="10">
        <f>SUMIF(格道17!$C$2:$C$403,A177,格道17!$D$2:$D$403)</f>
        <v>0.00263324019030245</v>
      </c>
      <c r="C177" s="10">
        <f t="shared" si="2"/>
        <v>6.93395389982408e-6</v>
      </c>
    </row>
    <row r="178" spans="1:3">
      <c r="A178" s="11" t="s">
        <v>364</v>
      </c>
      <c r="B178" s="10">
        <f>SUMIF(格道17!$C$2:$C$403,A178,格道17!$D$2:$D$403)</f>
        <v>0.000501803406604388</v>
      </c>
      <c r="C178" s="10">
        <f t="shared" si="2"/>
        <v>2.51806658879769e-7</v>
      </c>
    </row>
    <row r="179" spans="1:3">
      <c r="A179" s="11" t="s">
        <v>224</v>
      </c>
      <c r="B179" s="10">
        <f>SUMIF(格道17!$C$2:$C$403,A179,格道17!$D$2:$D$403)</f>
        <v>0.00100584755869576</v>
      </c>
      <c r="C179" s="10">
        <f t="shared" si="2"/>
        <v>1.01172931133422e-6</v>
      </c>
    </row>
    <row r="180" spans="1:3">
      <c r="A180" s="11" t="s">
        <v>594</v>
      </c>
      <c r="B180" s="10">
        <f>SUMIF(格道17!$C$2:$C$403,A180,格道17!$D$2:$D$403)</f>
        <v>0.00238078069732208</v>
      </c>
      <c r="C180" s="10">
        <f t="shared" si="2"/>
        <v>5.6681167287414e-6</v>
      </c>
    </row>
    <row r="181" spans="1:3">
      <c r="A181" s="11" t="s">
        <v>333</v>
      </c>
      <c r="B181" s="10">
        <f>SUMIF(格道17!$C$2:$C$403,A181,格道17!$D$2:$D$403)</f>
        <v>0.000148663218724156</v>
      </c>
      <c r="C181" s="10">
        <f t="shared" si="2"/>
        <v>2.21007526014262e-8</v>
      </c>
    </row>
    <row r="182" spans="1:3">
      <c r="A182" s="11" t="s">
        <v>135</v>
      </c>
      <c r="B182" s="10">
        <f>SUMIF(格道17!$C$2:$C$403,A182,格道17!$D$2:$D$403)</f>
        <v>0.00228588236160343</v>
      </c>
      <c r="C182" s="10">
        <f t="shared" si="2"/>
        <v>5.22525817108967e-6</v>
      </c>
    </row>
    <row r="183" spans="1:3">
      <c r="A183" s="11" t="s">
        <v>83</v>
      </c>
      <c r="B183" s="10">
        <f>SUMIF(格道17!$C$2:$C$403,A183,格道17!$D$2:$D$403)</f>
        <v>0.00456385219233628</v>
      </c>
      <c r="C183" s="10">
        <f t="shared" si="2"/>
        <v>2.08287468334927e-5</v>
      </c>
    </row>
    <row r="184" spans="1:3">
      <c r="A184" s="11" t="s">
        <v>592</v>
      </c>
      <c r="B184" s="10">
        <f>SUMIF(格道17!$C$2:$C$403,A184,格道17!$D$2:$D$403)</f>
        <v>0.00198617858750637</v>
      </c>
      <c r="C184" s="10">
        <f t="shared" si="2"/>
        <v>3.94490538146881e-6</v>
      </c>
    </row>
    <row r="185" spans="1:3">
      <c r="A185" s="11" t="s">
        <v>590</v>
      </c>
      <c r="B185" s="10">
        <f>SUMIF(格道17!$C$2:$C$403,A185,格道17!$D$2:$D$403)</f>
        <v>0.00984539337461058</v>
      </c>
      <c r="C185" s="10">
        <f t="shared" si="2"/>
        <v>9.69317707008258e-5</v>
      </c>
    </row>
    <row r="186" spans="1:3">
      <c r="A186" s="11" t="s">
        <v>236</v>
      </c>
      <c r="B186" s="10">
        <f>SUMIF(格道17!$C$2:$C$403,A186,格道17!$D$2:$D$403)</f>
        <v>0.000860787744905677</v>
      </c>
      <c r="C186" s="10">
        <f t="shared" si="2"/>
        <v>7.409555417798e-7</v>
      </c>
    </row>
    <row r="187" spans="1:3">
      <c r="A187" s="11" t="s">
        <v>546</v>
      </c>
      <c r="B187" s="10">
        <f>SUMIF(格道17!$C$2:$C$403,A187,格道17!$D$2:$D$403)</f>
        <v>0.0114114988528034</v>
      </c>
      <c r="C187" s="10">
        <f t="shared" si="2"/>
        <v>0.000130222306067532</v>
      </c>
    </row>
    <row r="188" spans="1:3">
      <c r="A188" s="11" t="s">
        <v>57</v>
      </c>
      <c r="B188" s="10">
        <f>SUMIF(格道17!$C$2:$C$403,A188,格道17!$D$2:$D$403)</f>
        <v>0.00423916199214853</v>
      </c>
      <c r="C188" s="10">
        <f t="shared" si="2"/>
        <v>1.79704943956767e-5</v>
      </c>
    </row>
    <row r="189" spans="1:3">
      <c r="A189" s="11" t="s">
        <v>219</v>
      </c>
      <c r="B189" s="10">
        <f>SUMIF(格道17!$C$2:$C$403,A189,格道17!$D$2:$D$403)</f>
        <v>0.000949224017804827</v>
      </c>
      <c r="C189" s="10">
        <f t="shared" si="2"/>
        <v>9.01026235977539e-7</v>
      </c>
    </row>
    <row r="190" spans="1:3">
      <c r="A190" s="11" t="s">
        <v>47</v>
      </c>
      <c r="B190" s="10">
        <f>SUMIF(格道17!$C$2:$C$403,A190,格道17!$D$2:$D$403)</f>
        <v>0.00600918831833879</v>
      </c>
      <c r="C190" s="10">
        <f t="shared" si="2"/>
        <v>3.61103442452594e-5</v>
      </c>
    </row>
    <row r="191" spans="1:3">
      <c r="A191" s="11" t="s">
        <v>55</v>
      </c>
      <c r="B191" s="10">
        <f>SUMIF(格道17!$C$2:$C$403,A191,格道17!$D$2:$D$403)</f>
        <v>0.00762065181874774</v>
      </c>
      <c r="C191" s="10">
        <f t="shared" si="2"/>
        <v>5.80743341425833e-5</v>
      </c>
    </row>
    <row r="192" spans="1:3">
      <c r="A192" s="11" t="s">
        <v>173</v>
      </c>
      <c r="B192" s="10">
        <f>SUMIF(格道17!$C$2:$C$403,A192,格道17!$D$2:$D$403)</f>
        <v>0.00185807884296827</v>
      </c>
      <c r="C192" s="10">
        <f t="shared" si="2"/>
        <v>3.45245698668631e-6</v>
      </c>
    </row>
    <row r="193" spans="1:3">
      <c r="A193" s="11" t="s">
        <v>242</v>
      </c>
      <c r="B193" s="10">
        <f>SUMIF(格道17!$C$2:$C$403,A193,格道17!$D$2:$D$403)</f>
        <v>0.000801647024033722</v>
      </c>
      <c r="C193" s="10">
        <f t="shared" si="2"/>
        <v>6.42637951142123e-7</v>
      </c>
    </row>
    <row r="194" spans="1:3">
      <c r="A194" s="11" t="s">
        <v>129</v>
      </c>
      <c r="B194" s="10">
        <f>SUMIF(格道17!$C$2:$C$403,A194,格道17!$D$2:$D$403)</f>
        <v>0.00344798695718315</v>
      </c>
      <c r="C194" s="10">
        <f t="shared" si="2"/>
        <v>1.18886140569051e-5</v>
      </c>
    </row>
    <row r="195" spans="1:3">
      <c r="A195" s="11" t="s">
        <v>249</v>
      </c>
      <c r="B195" s="10">
        <f>SUMIF(格道17!$C$2:$C$403,A195,格道17!$D$2:$D$403)</f>
        <v>0.00118597227501218</v>
      </c>
      <c r="C195" s="10">
        <f t="shared" ref="C195:C258" si="3">B195*B195</f>
        <v>1.40653023709756e-6</v>
      </c>
    </row>
    <row r="196" spans="1:3">
      <c r="A196" s="11" t="s">
        <v>484</v>
      </c>
      <c r="B196" s="10">
        <f>SUMIF(格道17!$C$2:$C$403,A196,格道17!$D$2:$D$403)</f>
        <v>0.00758564220312022</v>
      </c>
      <c r="C196" s="10">
        <f t="shared" si="3"/>
        <v>5.75419676337585e-5</v>
      </c>
    </row>
    <row r="197" spans="1:3">
      <c r="A197" s="11" t="s">
        <v>476</v>
      </c>
      <c r="B197" s="10">
        <f>SUMIF(格道17!$C$2:$C$403,A197,格道17!$D$2:$D$403)</f>
        <v>0.00796762263915511</v>
      </c>
      <c r="C197" s="10">
        <f t="shared" si="3"/>
        <v>6.3483010519977e-5</v>
      </c>
    </row>
    <row r="198" spans="1:3">
      <c r="A198" s="11" t="s">
        <v>498</v>
      </c>
      <c r="B198" s="10">
        <f>SUMIF(格道17!$C$2:$C$403,A198,格道17!$D$2:$D$403)</f>
        <v>0.00181757956350616</v>
      </c>
      <c r="C198" s="10">
        <f t="shared" si="3"/>
        <v>3.30359546967525e-6</v>
      </c>
    </row>
    <row r="199" spans="1:3">
      <c r="A199" s="11" t="s">
        <v>486</v>
      </c>
      <c r="B199" s="10">
        <f>SUMIF(格道17!$C$2:$C$403,A199,格道17!$D$2:$D$403)</f>
        <v>0.00739373162084614</v>
      </c>
      <c r="C199" s="10">
        <f t="shared" si="3"/>
        <v>5.46672672811001e-5</v>
      </c>
    </row>
    <row r="200" spans="1:3">
      <c r="A200" s="11" t="s">
        <v>492</v>
      </c>
      <c r="B200" s="10">
        <f>SUMIF(格道17!$C$2:$C$403,A200,格道17!$D$2:$D$403)</f>
        <v>0.00429644247148412</v>
      </c>
      <c r="C200" s="10">
        <f t="shared" si="3"/>
        <v>1.84594179107726e-5</v>
      </c>
    </row>
    <row r="201" spans="1:3">
      <c r="A201" s="11" t="s">
        <v>496</v>
      </c>
      <c r="B201" s="10">
        <f>SUMIF(格道17!$C$2:$C$403,A201,格道17!$D$2:$D$403)</f>
        <v>0.00140581249769584</v>
      </c>
      <c r="C201" s="10">
        <f t="shared" si="3"/>
        <v>1.97630877867781e-6</v>
      </c>
    </row>
    <row r="202" spans="1:3">
      <c r="A202" s="11" t="s">
        <v>474</v>
      </c>
      <c r="B202" s="10">
        <f>SUMIF(格道17!$C$2:$C$403,A202,格道17!$D$2:$D$403)</f>
        <v>0.00701673351004501</v>
      </c>
      <c r="C202" s="10">
        <f t="shared" si="3"/>
        <v>4.92345491509885e-5</v>
      </c>
    </row>
    <row r="203" spans="1:3">
      <c r="A203" s="11" t="s">
        <v>482</v>
      </c>
      <c r="B203" s="10">
        <f>SUMIF(格道17!$C$2:$C$403,A203,格道17!$D$2:$D$403)</f>
        <v>0.00623952654745493</v>
      </c>
      <c r="C203" s="10">
        <f t="shared" si="3"/>
        <v>3.89316915363948e-5</v>
      </c>
    </row>
    <row r="204" spans="1:3">
      <c r="A204" s="11" t="s">
        <v>478</v>
      </c>
      <c r="B204" s="10">
        <f>SUMIF(格道17!$C$2:$C$403,A204,格道17!$D$2:$D$403)</f>
        <v>0.00338074507955056</v>
      </c>
      <c r="C204" s="10">
        <f t="shared" si="3"/>
        <v>1.14294372929053e-5</v>
      </c>
    </row>
    <row r="205" spans="1:3">
      <c r="A205" s="11" t="s">
        <v>480</v>
      </c>
      <c r="B205" s="10">
        <f>SUMIF(格道17!$C$2:$C$403,A205,格道17!$D$2:$D$403)</f>
        <v>0.00425227474367758</v>
      </c>
      <c r="C205" s="10">
        <f t="shared" si="3"/>
        <v>1.80818404957182e-5</v>
      </c>
    </row>
    <row r="206" spans="1:3">
      <c r="A206" s="11" t="s">
        <v>488</v>
      </c>
      <c r="B206" s="10">
        <f>SUMIF(格道17!$C$2:$C$403,A206,格道17!$D$2:$D$403)</f>
        <v>1.99780834927916e-5</v>
      </c>
      <c r="C206" s="10">
        <f t="shared" si="3"/>
        <v>3.99123820044952e-10</v>
      </c>
    </row>
    <row r="207" spans="1:3">
      <c r="A207" s="11" t="s">
        <v>490</v>
      </c>
      <c r="B207" s="10">
        <f>SUMIF(格道17!$C$2:$C$403,A207,格道17!$D$2:$D$403)</f>
        <v>0.00540384881111963</v>
      </c>
      <c r="C207" s="10">
        <f t="shared" si="3"/>
        <v>2.92015819734391e-5</v>
      </c>
    </row>
    <row r="208" spans="1:3">
      <c r="A208" s="11" t="s">
        <v>472</v>
      </c>
      <c r="B208" s="10">
        <f>SUMIF(格道17!$C$2:$C$403,A208,格道17!$D$2:$D$403)</f>
        <v>0.0174911649584403</v>
      </c>
      <c r="C208" s="10">
        <f t="shared" si="3"/>
        <v>0.000305940851603368</v>
      </c>
    </row>
    <row r="209" spans="1:3">
      <c r="A209" s="11" t="s">
        <v>494</v>
      </c>
      <c r="B209" s="10">
        <f>SUMIF(格道17!$C$2:$C$403,A209,格道17!$D$2:$D$403)</f>
        <v>0.000247064142090816</v>
      </c>
      <c r="C209" s="10">
        <f t="shared" si="3"/>
        <v>6.1040690307071e-8</v>
      </c>
    </row>
    <row r="210" spans="1:3">
      <c r="A210" s="11" t="s">
        <v>17</v>
      </c>
      <c r="B210" s="10">
        <f>SUMIF(格道17!$C$2:$C$403,A210,格道17!$D$2:$D$403)</f>
        <v>0.007110617168562</v>
      </c>
      <c r="C210" s="10">
        <f t="shared" si="3"/>
        <v>5.05608765178487e-5</v>
      </c>
    </row>
    <row r="211" spans="1:3">
      <c r="A211" s="11" t="s">
        <v>45</v>
      </c>
      <c r="B211" s="10">
        <f>SUMIF(格道17!$C$2:$C$403,A211,格道17!$D$2:$D$403)</f>
        <v>0.0061816639295966</v>
      </c>
      <c r="C211" s="10">
        <f t="shared" si="3"/>
        <v>3.82129689384756e-5</v>
      </c>
    </row>
    <row r="212" spans="1:3">
      <c r="A212" s="11" t="s">
        <v>122</v>
      </c>
      <c r="B212" s="10">
        <f>SUMIF(格道17!$C$2:$C$403,A212,格道17!$D$2:$D$403)</f>
        <v>0.00253551897057407</v>
      </c>
      <c r="C212" s="10">
        <f t="shared" si="3"/>
        <v>6.42885645014102e-6</v>
      </c>
    </row>
    <row r="213" spans="1:3">
      <c r="A213" s="11" t="s">
        <v>63</v>
      </c>
      <c r="B213" s="10">
        <f>SUMIF(格道17!$C$2:$C$403,A213,格道17!$D$2:$D$403)</f>
        <v>0.00393686298597802</v>
      </c>
      <c r="C213" s="10">
        <f t="shared" si="3"/>
        <v>1.54988901703638e-5</v>
      </c>
    </row>
    <row r="214" spans="1:3">
      <c r="A214" s="11" t="s">
        <v>107</v>
      </c>
      <c r="B214" s="10">
        <f>SUMIF(格道17!$C$2:$C$403,A214,格道17!$D$2:$D$403)</f>
        <v>0.00267630543230335</v>
      </c>
      <c r="C214" s="10">
        <f t="shared" si="3"/>
        <v>7.16261076697643e-6</v>
      </c>
    </row>
    <row r="215" spans="1:3">
      <c r="A215" s="11" t="s">
        <v>59</v>
      </c>
      <c r="B215" s="10">
        <f>SUMIF(格道17!$C$2:$C$403,A215,格道17!$D$2:$D$403)</f>
        <v>0.00412093258513291</v>
      </c>
      <c r="C215" s="10">
        <f t="shared" si="3"/>
        <v>1.69820853712102e-5</v>
      </c>
    </row>
    <row r="216" spans="1:3">
      <c r="A216" s="11" t="s">
        <v>79</v>
      </c>
      <c r="B216" s="10">
        <f>SUMIF(格道17!$C$2:$C$403,A216,格道17!$D$2:$D$403)</f>
        <v>0.00340620307036638</v>
      </c>
      <c r="C216" s="10">
        <f t="shared" si="3"/>
        <v>1.16022193565734e-5</v>
      </c>
    </row>
    <row r="217" spans="1:3">
      <c r="A217" s="11" t="s">
        <v>87</v>
      </c>
      <c r="B217" s="10">
        <f>SUMIF(格道17!$C$2:$C$403,A217,格道17!$D$2:$D$403)</f>
        <v>0.00290165157967418</v>
      </c>
      <c r="C217" s="10">
        <f t="shared" si="3"/>
        <v>8.41958188982569e-6</v>
      </c>
    </row>
    <row r="218" spans="1:3">
      <c r="A218" s="11" t="s">
        <v>164</v>
      </c>
      <c r="B218" s="10">
        <f>SUMIF(格道17!$C$2:$C$403,A218,格道17!$D$2:$D$403)</f>
        <v>0.00152942424691894</v>
      </c>
      <c r="C218" s="10">
        <f t="shared" si="3"/>
        <v>2.33913852706356e-6</v>
      </c>
    </row>
    <row r="219" spans="1:3">
      <c r="A219" s="11" t="s">
        <v>68</v>
      </c>
      <c r="B219" s="10">
        <f>SUMIF(格道17!$C$2:$C$403,A219,格道17!$D$2:$D$403)</f>
        <v>0.00345561329704813</v>
      </c>
      <c r="C219" s="10">
        <f t="shared" si="3"/>
        <v>1.19412632587358e-5</v>
      </c>
    </row>
    <row r="220" spans="1:3">
      <c r="A220" s="11" t="s">
        <v>93</v>
      </c>
      <c r="B220" s="10">
        <f>SUMIF(格道17!$C$2:$C$403,A220,格道17!$D$2:$D$403)</f>
        <v>0.00305164818831077</v>
      </c>
      <c r="C220" s="10">
        <f t="shared" si="3"/>
        <v>9.31255666522039e-6</v>
      </c>
    </row>
    <row r="221" spans="1:3">
      <c r="A221" s="11" t="s">
        <v>126</v>
      </c>
      <c r="B221" s="10">
        <f>SUMIF(格道17!$C$2:$C$403,A221,格道17!$D$2:$D$403)</f>
        <v>0.00241328939382117</v>
      </c>
      <c r="C221" s="10">
        <f t="shared" si="3"/>
        <v>5.82396569832976e-6</v>
      </c>
    </row>
    <row r="222" spans="1:3">
      <c r="A222" s="11" t="s">
        <v>528</v>
      </c>
      <c r="B222" s="10">
        <f>SUMIF(格道17!$C$2:$C$403,A222,格道17!$D$2:$D$403)</f>
        <v>0.00284334341445487</v>
      </c>
      <c r="C222" s="10">
        <f t="shared" si="3"/>
        <v>8.08460177252387e-6</v>
      </c>
    </row>
    <row r="223" spans="1:3">
      <c r="A223" s="11" t="s">
        <v>12</v>
      </c>
      <c r="B223" s="10">
        <f>SUMIF(格道17!$C$2:$C$403,A223,格道17!$D$2:$D$403)</f>
        <v>0.0100340290211729</v>
      </c>
      <c r="C223" s="10">
        <f t="shared" si="3"/>
        <v>0.00010068173839774</v>
      </c>
    </row>
    <row r="224" spans="1:3">
      <c r="A224" s="11" t="s">
        <v>111</v>
      </c>
      <c r="B224" s="10">
        <f>SUMIF(格道17!$C$2:$C$403,A224,格道17!$D$2:$D$403)</f>
        <v>0.00232002689987314</v>
      </c>
      <c r="C224" s="10">
        <f t="shared" si="3"/>
        <v>5.38252481613496e-6</v>
      </c>
    </row>
    <row r="225" spans="1:3">
      <c r="A225" s="11" t="s">
        <v>131</v>
      </c>
      <c r="B225" s="10">
        <f>SUMIF(格道17!$C$2:$C$403,A225,格道17!$D$2:$D$403)</f>
        <v>0.00309883067818761</v>
      </c>
      <c r="C225" s="10">
        <f t="shared" si="3"/>
        <v>9.60275157207666e-6</v>
      </c>
    </row>
    <row r="226" spans="1:3">
      <c r="A226" s="11" t="s">
        <v>38</v>
      </c>
      <c r="B226" s="10">
        <f>SUMIF(格道17!$C$2:$C$403,A226,格道17!$D$2:$D$403)</f>
        <v>0.00576314210562014</v>
      </c>
      <c r="C226" s="10">
        <f t="shared" si="3"/>
        <v>3.32138069295718e-5</v>
      </c>
    </row>
    <row r="227" spans="1:3">
      <c r="A227" s="11" t="s">
        <v>91</v>
      </c>
      <c r="B227" s="10">
        <f>SUMIF(格道17!$C$2:$C$403,A227,格道17!$D$2:$D$403)</f>
        <v>0.00296320541107058</v>
      </c>
      <c r="C227" s="10">
        <f t="shared" si="3"/>
        <v>8.78058630819797e-6</v>
      </c>
    </row>
    <row r="228" spans="1:3">
      <c r="A228" s="11" t="s">
        <v>526</v>
      </c>
      <c r="B228" s="10">
        <f>SUMIF(格道17!$C$2:$C$403,A228,格道17!$D$2:$D$403)</f>
        <v>0.00249033656556588</v>
      </c>
      <c r="C228" s="10">
        <f t="shared" si="3"/>
        <v>6.20177620979445e-6</v>
      </c>
    </row>
    <row r="229" spans="1:3">
      <c r="A229" s="11" t="s">
        <v>51</v>
      </c>
      <c r="B229" s="10">
        <f>SUMIF(格道17!$C$2:$C$403,A229,格道17!$D$2:$D$403)</f>
        <v>0.00559176572799746</v>
      </c>
      <c r="C229" s="10">
        <f t="shared" si="3"/>
        <v>3.1267843956807e-5</v>
      </c>
    </row>
    <row r="230" spans="1:3">
      <c r="A230" s="11" t="s">
        <v>65</v>
      </c>
      <c r="B230" s="10">
        <f>SUMIF(格道17!$C$2:$C$403,A230,格道17!$D$2:$D$403)</f>
        <v>0.00416073915227466</v>
      </c>
      <c r="C230" s="10">
        <f t="shared" si="3"/>
        <v>1.73117502932713e-5</v>
      </c>
    </row>
    <row r="231" spans="1:3">
      <c r="A231" s="11" t="s">
        <v>100</v>
      </c>
      <c r="B231" s="10">
        <f>SUMIF(格道17!$C$2:$C$403,A231,格道17!$D$2:$D$403)</f>
        <v>0.00282519305079326</v>
      </c>
      <c r="C231" s="10">
        <f t="shared" si="3"/>
        <v>7.98171577425052e-6</v>
      </c>
    </row>
    <row r="232" spans="1:3">
      <c r="A232" s="11" t="s">
        <v>109</v>
      </c>
      <c r="B232" s="10">
        <f>SUMIF(格道17!$C$2:$C$403,A232,格道17!$D$2:$D$403)</f>
        <v>0.00310352030807473</v>
      </c>
      <c r="C232" s="10">
        <f t="shared" si="3"/>
        <v>9.63183830263227e-6</v>
      </c>
    </row>
    <row r="233" spans="1:3">
      <c r="A233" s="11" t="s">
        <v>147</v>
      </c>
      <c r="B233" s="10">
        <f>SUMIF(格道17!$C$2:$C$403,A233,格道17!$D$2:$D$403)</f>
        <v>0.00176177882175631</v>
      </c>
      <c r="C233" s="10">
        <f t="shared" si="3"/>
        <v>3.10386461678906e-6</v>
      </c>
    </row>
    <row r="234" spans="1:3">
      <c r="A234" s="11" t="s">
        <v>171</v>
      </c>
      <c r="B234" s="10">
        <f>SUMIF(格道17!$C$2:$C$403,A234,格道17!$D$2:$D$403)</f>
        <v>0.00155071620730105</v>
      </c>
      <c r="C234" s="10">
        <f t="shared" si="3"/>
        <v>2.40472075558615e-6</v>
      </c>
    </row>
    <row r="235" spans="1:3">
      <c r="A235" s="11" t="s">
        <v>42</v>
      </c>
      <c r="B235" s="10">
        <f>SUMIF(格道17!$C$2:$C$403,A235,格道17!$D$2:$D$403)</f>
        <v>0.00559895952918353</v>
      </c>
      <c r="C235" s="10">
        <f t="shared" si="3"/>
        <v>3.13483478094351e-5</v>
      </c>
    </row>
    <row r="236" spans="1:3">
      <c r="A236" s="11" t="s">
        <v>232</v>
      </c>
      <c r="B236" s="10">
        <f>SUMIF(格道17!$C$2:$C$403,A236,格道17!$D$2:$D$403)</f>
        <v>0.000763668176723154</v>
      </c>
      <c r="C236" s="10">
        <f t="shared" si="3"/>
        <v>5.83189084139666e-7</v>
      </c>
    </row>
    <row r="237" spans="1:3">
      <c r="A237" s="11" t="s">
        <v>195</v>
      </c>
      <c r="B237" s="10">
        <f>SUMIF(格道17!$C$2:$C$403,A237,格道17!$D$2:$D$403)</f>
        <v>0.00152162879418701</v>
      </c>
      <c r="C237" s="10">
        <f t="shared" si="3"/>
        <v>2.31535418729902e-6</v>
      </c>
    </row>
    <row r="238" spans="1:3">
      <c r="A238" s="11" t="s">
        <v>133</v>
      </c>
      <c r="B238" s="10">
        <f>SUMIF(格道17!$C$2:$C$403,A238,格道17!$D$2:$D$403)</f>
        <v>0.0020035776997783</v>
      </c>
      <c r="C238" s="10">
        <f t="shared" si="3"/>
        <v>4.0143235990489e-6</v>
      </c>
    </row>
    <row r="239" spans="1:3">
      <c r="A239" s="11" t="s">
        <v>74</v>
      </c>
      <c r="B239" s="10">
        <f>SUMIF(格道17!$C$2:$C$403,A239,格道17!$D$2:$D$403)</f>
        <v>0.0044114327166637</v>
      </c>
      <c r="C239" s="10">
        <f t="shared" si="3"/>
        <v>1.94607386136509e-5</v>
      </c>
    </row>
    <row r="240" spans="1:3">
      <c r="A240" s="11" t="s">
        <v>149</v>
      </c>
      <c r="B240" s="10">
        <f>SUMIF(格道17!$C$2:$C$403,A240,格道17!$D$2:$D$403)</f>
        <v>0.00247674574497067</v>
      </c>
      <c r="C240" s="10">
        <f t="shared" si="3"/>
        <v>6.13426948523031e-6</v>
      </c>
    </row>
    <row r="241" spans="1:3">
      <c r="A241" s="11" t="s">
        <v>179</v>
      </c>
      <c r="B241" s="10">
        <f>SUMIF(格道17!$C$2:$C$403,A241,格道17!$D$2:$D$403)</f>
        <v>0.00136766778968885</v>
      </c>
      <c r="C241" s="10">
        <f t="shared" si="3"/>
        <v>1.87051518295237e-6</v>
      </c>
    </row>
    <row r="242" spans="1:3">
      <c r="A242" s="11" t="s">
        <v>212</v>
      </c>
      <c r="B242" s="10">
        <f>SUMIF(格道17!$C$2:$C$403,A242,格道17!$D$2:$D$403)</f>
        <v>0.00178844662000487</v>
      </c>
      <c r="C242" s="10">
        <f t="shared" si="3"/>
        <v>3.19854131260685e-6</v>
      </c>
    </row>
    <row r="243" spans="1:3">
      <c r="A243" s="11" t="s">
        <v>287</v>
      </c>
      <c r="B243" s="10">
        <f>SUMIF(格道17!$C$2:$C$403,A243,格道17!$D$2:$D$403)</f>
        <v>0.000624764721723867</v>
      </c>
      <c r="C243" s="10">
        <f t="shared" si="3"/>
        <v>3.90330957510701e-7</v>
      </c>
    </row>
    <row r="244" spans="1:3">
      <c r="A244" s="11" t="s">
        <v>586</v>
      </c>
      <c r="B244" s="10">
        <f>SUMIF(格道17!$C$2:$C$403,A244,格道17!$D$2:$D$403)</f>
        <v>0.00112342653160775</v>
      </c>
      <c r="C244" s="10">
        <f t="shared" si="3"/>
        <v>1.26208717192023e-6</v>
      </c>
    </row>
    <row r="245" spans="1:3">
      <c r="A245" s="11" t="s">
        <v>9</v>
      </c>
      <c r="B245" s="10">
        <f>SUMIF(格道17!$C$2:$C$403,A245,格道17!$D$2:$D$403)</f>
        <v>0.0112711644427761</v>
      </c>
      <c r="C245" s="10">
        <f t="shared" si="3"/>
        <v>0.0001270391478961</v>
      </c>
    </row>
    <row r="246" spans="1:3">
      <c r="A246" s="11" t="s">
        <v>588</v>
      </c>
      <c r="B246" s="10">
        <f>SUMIF(格道17!$C$2:$C$403,A246,格道17!$D$2:$D$403)</f>
        <v>0.00232693451005362</v>
      </c>
      <c r="C246" s="10">
        <f t="shared" si="3"/>
        <v>5.41462421407846e-6</v>
      </c>
    </row>
    <row r="247" spans="1:3">
      <c r="A247" s="11" t="s">
        <v>31</v>
      </c>
      <c r="B247" s="10">
        <f>SUMIF(格道17!$C$2:$C$403,A247,格道17!$D$2:$D$403)</f>
        <v>0.00789694646945539</v>
      </c>
      <c r="C247" s="10">
        <f t="shared" si="3"/>
        <v>6.2361763541444e-5</v>
      </c>
    </row>
    <row r="248" spans="1:3">
      <c r="A248" s="11" t="s">
        <v>143</v>
      </c>
      <c r="B248" s="10">
        <f>SUMIF(格道17!$C$2:$C$403,A248,格道17!$D$2:$D$403)</f>
        <v>0.00257762807444265</v>
      </c>
      <c r="C248" s="10">
        <f t="shared" si="3"/>
        <v>6.64416649015493e-6</v>
      </c>
    </row>
    <row r="249" spans="1:3">
      <c r="A249" s="11" t="s">
        <v>299</v>
      </c>
      <c r="B249" s="10">
        <f>SUMIF(格道17!$C$2:$C$403,A249,格道17!$D$2:$D$403)</f>
        <v>0.000578278196337905</v>
      </c>
      <c r="C249" s="10">
        <f t="shared" si="3"/>
        <v>3.34405672359821e-7</v>
      </c>
    </row>
    <row r="250" spans="1:3">
      <c r="A250" s="11" t="s">
        <v>344</v>
      </c>
      <c r="B250" s="10">
        <f>SUMIF(格道17!$C$2:$C$403,A250,格道17!$D$2:$D$403)</f>
        <v>5.78366004941894e-5</v>
      </c>
      <c r="C250" s="10">
        <f t="shared" si="3"/>
        <v>3.34507235672447e-9</v>
      </c>
    </row>
    <row r="251" spans="1:3">
      <c r="A251" s="11" t="s">
        <v>53</v>
      </c>
      <c r="B251" s="10">
        <f>SUMIF(格道17!$C$2:$C$403,A251,格道17!$D$2:$D$403)</f>
        <v>0.00462973141052177</v>
      </c>
      <c r="C251" s="10">
        <f t="shared" si="3"/>
        <v>2.14344129335719e-5</v>
      </c>
    </row>
    <row r="252" spans="1:3">
      <c r="A252" s="11" t="s">
        <v>584</v>
      </c>
      <c r="B252" s="10">
        <f>SUMIF(格道17!$C$2:$C$403,A252,格道17!$D$2:$D$403)</f>
        <v>9.46186490540906e-5</v>
      </c>
      <c r="C252" s="10">
        <f t="shared" si="3"/>
        <v>8.95268874882116e-9</v>
      </c>
    </row>
    <row r="253" spans="1:3">
      <c r="A253" s="11" t="s">
        <v>548</v>
      </c>
      <c r="B253" s="10">
        <f>SUMIF(格道17!$C$2:$C$403,A253,格道17!$D$2:$D$403)</f>
        <v>0.000118840815073025</v>
      </c>
      <c r="C253" s="10">
        <f t="shared" si="3"/>
        <v>1.41231393272208e-8</v>
      </c>
    </row>
    <row r="254" spans="1:3">
      <c r="A254" s="11" t="s">
        <v>582</v>
      </c>
      <c r="B254" s="10">
        <f>SUMIF(格道17!$C$2:$C$403,A254,格道17!$D$2:$D$403)</f>
        <v>0.000681163862849049</v>
      </c>
      <c r="C254" s="10">
        <f t="shared" si="3"/>
        <v>4.63984208051438e-7</v>
      </c>
    </row>
    <row r="255" spans="1:3">
      <c r="A255" s="11" t="s">
        <v>580</v>
      </c>
      <c r="B255" s="10">
        <f>SUMIF(格道17!$C$2:$C$403,A255,格道17!$D$2:$D$403)</f>
        <v>0.00529206845824144</v>
      </c>
      <c r="C255" s="10">
        <f t="shared" si="3"/>
        <v>2.80059885667139e-5</v>
      </c>
    </row>
    <row r="256" spans="1:3">
      <c r="A256" s="11" t="s">
        <v>550</v>
      </c>
      <c r="B256" s="10">
        <f>SUMIF(格道17!$C$2:$C$403,A256,格道17!$D$2:$D$403)</f>
        <v>0.000773148253783465</v>
      </c>
      <c r="C256" s="10">
        <f t="shared" si="3"/>
        <v>5.97758222328421e-7</v>
      </c>
    </row>
    <row r="257" spans="1:3">
      <c r="A257" s="11" t="s">
        <v>22</v>
      </c>
      <c r="B257" s="10">
        <f>SUMIF(格道17!$C$2:$C$403,A257,格道17!$D$2:$D$403)</f>
        <v>0.00705783444105297</v>
      </c>
      <c r="C257" s="10">
        <f t="shared" si="3"/>
        <v>4.98130269973134e-5</v>
      </c>
    </row>
    <row r="258" spans="1:3">
      <c r="A258" s="11" t="s">
        <v>89</v>
      </c>
      <c r="B258" s="10">
        <f>SUMIF(格道17!$C$2:$C$403,A258,格道17!$D$2:$D$403)</f>
        <v>0.00453887552275714</v>
      </c>
      <c r="C258" s="10">
        <f t="shared" si="3"/>
        <v>2.06013910110839e-5</v>
      </c>
    </row>
    <row r="259" spans="1:3">
      <c r="A259" s="11" t="s">
        <v>96</v>
      </c>
      <c r="B259" s="10">
        <f>SUMIF(格道17!$C$2:$C$403,A259,格道17!$D$2:$D$403)</f>
        <v>0.00272313993993475</v>
      </c>
      <c r="C259" s="10">
        <f t="shared" ref="C259:C275" si="4">B259*B259</f>
        <v>7.41549113246785e-6</v>
      </c>
    </row>
    <row r="260" spans="1:3">
      <c r="A260" s="11" t="s">
        <v>690</v>
      </c>
      <c r="B260" s="10">
        <f>SUMIF(格道17!$C$2:$C$403,A260,格道17!$D$2:$D$403)</f>
        <v>0.00180088942440719</v>
      </c>
      <c r="C260" s="10">
        <f t="shared" si="4"/>
        <v>3.24320271894165e-6</v>
      </c>
    </row>
    <row r="261" spans="1:3">
      <c r="A261" s="11" t="s">
        <v>118</v>
      </c>
      <c r="B261" s="10">
        <f>SUMIF(格道17!$C$2:$C$403,A261,格道17!$D$2:$D$403)</f>
        <v>0.00225879178118752</v>
      </c>
      <c r="C261" s="10">
        <f t="shared" si="4"/>
        <v>5.10214031076027e-6</v>
      </c>
    </row>
    <row r="262" spans="1:3">
      <c r="A262" s="11" t="s">
        <v>692</v>
      </c>
      <c r="B262" s="10">
        <f>SUMIF(格道17!$C$2:$C$403,A262,格道17!$D$2:$D$403)</f>
        <v>0.00526653566750371</v>
      </c>
      <c r="C262" s="10">
        <f t="shared" si="4"/>
        <v>2.77363979370887e-5</v>
      </c>
    </row>
    <row r="263" spans="1:3">
      <c r="A263" s="11" t="s">
        <v>35</v>
      </c>
      <c r="B263" s="10">
        <f>SUMIF(格道17!$C$2:$C$403,A263,格道17!$D$2:$D$403)</f>
        <v>0.00813439069115362</v>
      </c>
      <c r="C263" s="10">
        <f t="shared" si="4"/>
        <v>6.61683119163267e-5</v>
      </c>
    </row>
    <row r="264" spans="1:3">
      <c r="A264" s="11" t="s">
        <v>650</v>
      </c>
      <c r="B264" s="10">
        <f>SUMIF(格道17!$C$2:$C$403,A264,格道17!$D$2:$D$403)</f>
        <v>0.0106823882400057</v>
      </c>
      <c r="C264" s="10">
        <f t="shared" si="4"/>
        <v>0.000114113418510212</v>
      </c>
    </row>
    <row r="265" spans="1:3">
      <c r="A265" s="11" t="s">
        <v>26</v>
      </c>
      <c r="B265" s="10">
        <f>SUMIF(格道17!$C$2:$C$403,A265,格道17!$D$2:$D$403)</f>
        <v>0.00687055169742617</v>
      </c>
      <c r="C265" s="10">
        <f t="shared" si="4"/>
        <v>4.72044806270057e-5</v>
      </c>
    </row>
    <row r="266" spans="1:3">
      <c r="A266" s="11" t="s">
        <v>156</v>
      </c>
      <c r="B266" s="10">
        <f>SUMIF(格道17!$C$2:$C$403,A266,格道17!$D$2:$D$403)</f>
        <v>0.00258179410487636</v>
      </c>
      <c r="C266" s="10">
        <f t="shared" si="4"/>
        <v>6.66566079997432e-6</v>
      </c>
    </row>
    <row r="267" spans="1:3">
      <c r="A267" s="11" t="s">
        <v>81</v>
      </c>
      <c r="B267" s="10">
        <f>SUMIF(格道17!$C$2:$C$403,A267,格道17!$D$2:$D$403)</f>
        <v>0.00346854717919868</v>
      </c>
      <c r="C267" s="10">
        <f t="shared" si="4"/>
        <v>1.20308195343271e-5</v>
      </c>
    </row>
    <row r="268" spans="1:3">
      <c r="A268" s="11" t="s">
        <v>205</v>
      </c>
      <c r="B268" s="10">
        <f>SUMIF(格道17!$C$2:$C$403,A268,格道17!$D$2:$D$403)</f>
        <v>0.00122469586937139</v>
      </c>
      <c r="C268" s="10">
        <f t="shared" si="4"/>
        <v>1.49987997245535e-6</v>
      </c>
    </row>
    <row r="269" spans="1:3">
      <c r="A269" s="11" t="s">
        <v>652</v>
      </c>
      <c r="B269" s="10">
        <f>SUMIF(格道17!$C$2:$C$403,A269,格道17!$D$2:$D$403)</f>
        <v>0.00139274527655404</v>
      </c>
      <c r="C269" s="10">
        <f t="shared" si="4"/>
        <v>1.9397394053636e-6</v>
      </c>
    </row>
    <row r="270" spans="1:3">
      <c r="A270" s="11" t="s">
        <v>688</v>
      </c>
      <c r="B270" s="10">
        <f>SUMIF(格道17!$C$2:$C$403,A270,格道17!$D$2:$D$403)</f>
        <v>0.00190805819949069</v>
      </c>
      <c r="C270" s="10">
        <f t="shared" si="4"/>
        <v>3.64068609264365e-6</v>
      </c>
    </row>
    <row r="271" spans="1:3">
      <c r="A271" s="11" t="s">
        <v>686</v>
      </c>
      <c r="B271" s="10">
        <f>SUMIF(格道17!$C$2:$C$403,A271,格道17!$D$2:$D$403)</f>
        <v>0.0077401983548232</v>
      </c>
      <c r="C271" s="10">
        <f t="shared" si="4"/>
        <v>5.99106705720078e-5</v>
      </c>
    </row>
    <row r="272" spans="1:3">
      <c r="A272" s="11" t="s">
        <v>654</v>
      </c>
      <c r="B272" s="10">
        <f>SUMIF(格道17!$C$2:$C$403,A272,格道17!$D$2:$D$403)</f>
        <v>0.00139239729430861</v>
      </c>
      <c r="C272" s="10">
        <f t="shared" si="4"/>
        <v>1.93877022519792e-6</v>
      </c>
    </row>
    <row r="273" spans="1:3">
      <c r="A273" s="11" t="s">
        <v>317</v>
      </c>
      <c r="B273" s="10">
        <f>SUMIF(格道17!$C$2:$C$403,A273,格道17!$D$2:$D$403)</f>
        <v>0.000260739519119497</v>
      </c>
      <c r="C273" s="10">
        <f t="shared" si="4"/>
        <v>6.79850968306668e-8</v>
      </c>
    </row>
    <row r="274" spans="1:3">
      <c r="A274" s="11" t="s">
        <v>105</v>
      </c>
      <c r="B274" s="10">
        <f>SUMIF(格道17!$C$2:$C$403,A274,格道17!$D$2:$D$403)</f>
        <v>0.00268962307057504</v>
      </c>
      <c r="C274" s="10">
        <f t="shared" si="4"/>
        <v>7.23407226176951e-6</v>
      </c>
    </row>
    <row r="275" spans="1:3">
      <c r="A275" s="11" t="s">
        <v>49</v>
      </c>
      <c r="B275" s="10">
        <f>SUMIF(格道17!$C$2:$C$403,A275,格道17!$D$2:$D$403)</f>
        <v>0.00501559493815529</v>
      </c>
      <c r="C275" s="10">
        <f t="shared" si="4"/>
        <v>2.5156192583649e-5</v>
      </c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</sheetData>
  <sortState ref="A1:A275">
    <sortCondition ref="A1" descending="1"/>
  </sortState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403"/>
  <sheetViews>
    <sheetView workbookViewId="0">
      <pane ySplit="1" topLeftCell="A2" activePane="bottomLeft" state="frozen"/>
      <selection/>
      <selection pane="bottomLeft" activeCell="I2" sqref="I2"/>
    </sheetView>
  </sheetViews>
  <sheetFormatPr defaultColWidth="9" defaultRowHeight="13.5"/>
  <cols>
    <col min="1" max="1" width="7.55833333333333" customWidth="1"/>
    <col min="2" max="2" width="9.375"/>
    <col min="3" max="3" width="5.55833333333333" customWidth="1"/>
    <col min="4" max="4" width="13.125" style="5" customWidth="1"/>
    <col min="5" max="5" width="14.5" style="5" customWidth="1"/>
    <col min="6" max="6" width="14.5" style="6" customWidth="1"/>
    <col min="9" max="9" width="11.5"/>
  </cols>
  <sheetData>
    <row r="1" spans="1:7">
      <c r="A1" t="s">
        <v>0</v>
      </c>
      <c r="B1" t="s">
        <v>697</v>
      </c>
      <c r="C1" t="s">
        <v>2</v>
      </c>
      <c r="D1" s="5" t="s">
        <v>3</v>
      </c>
      <c r="E1" s="5" t="s">
        <v>4</v>
      </c>
      <c r="F1" s="6" t="s">
        <v>5</v>
      </c>
      <c r="G1" t="s">
        <v>698</v>
      </c>
    </row>
    <row r="2" spans="1:9">
      <c r="A2" t="s">
        <v>545</v>
      </c>
      <c r="B2">
        <v>3508887</v>
      </c>
      <c r="C2" t="s">
        <v>236</v>
      </c>
      <c r="D2" s="5">
        <f>B2/SUM($B$2:$B$403)</f>
        <v>0.0114114988528034</v>
      </c>
      <c r="E2" s="7">
        <f>SUMIF($C$2:$C$403,C2,$D$2:$D$403)</f>
        <v>0.0116378239035001</v>
      </c>
      <c r="F2" s="5">
        <f t="shared" ref="F2:F65" si="0">E2-D2</f>
        <v>0.000226325050696785</v>
      </c>
      <c r="G2">
        <f t="shared" ref="G2:G65" si="1">COUNTIF(C2:C402,C2)-1</f>
        <v>2</v>
      </c>
      <c r="I2" s="8">
        <f>SUMIF(G2:G403,0,D2:D403)</f>
        <v>0.702774802619917</v>
      </c>
    </row>
    <row r="3" spans="1:7">
      <c r="A3" t="s">
        <v>282</v>
      </c>
      <c r="B3">
        <v>3350224</v>
      </c>
      <c r="C3" t="s">
        <v>17</v>
      </c>
      <c r="D3" s="5">
        <f>B3/SUM($B$2:$B$403)</f>
        <v>0.0108954997218874</v>
      </c>
      <c r="E3" s="7">
        <f>SUMIF($C$2:$C$403,C3,$D$2:$D$403)</f>
        <v>0.0110911600567688</v>
      </c>
      <c r="F3" s="5">
        <f t="shared" si="0"/>
        <v>0.000195660334881463</v>
      </c>
      <c r="G3">
        <f t="shared" si="1"/>
        <v>2</v>
      </c>
    </row>
    <row r="4" spans="1:7">
      <c r="A4" t="s">
        <v>352</v>
      </c>
      <c r="B4">
        <v>1720313</v>
      </c>
      <c r="C4" t="s">
        <v>171</v>
      </c>
      <c r="D4" s="5">
        <f>B4/SUM($B$2:$B$403)</f>
        <v>0.00559475122053309</v>
      </c>
      <c r="E4" s="7">
        <f>SUMIF($C$2:$C$403,C4,$D$2:$D$403)</f>
        <v>0.00853885012980974</v>
      </c>
      <c r="F4" s="5">
        <f t="shared" si="0"/>
        <v>0.00294409890927665</v>
      </c>
      <c r="G4">
        <f t="shared" si="1"/>
        <v>2</v>
      </c>
    </row>
    <row r="5" spans="1:7">
      <c r="A5" t="s">
        <v>473</v>
      </c>
      <c r="B5">
        <v>2157554</v>
      </c>
      <c r="C5" t="s">
        <v>478</v>
      </c>
      <c r="D5" s="5">
        <f>B5/SUM($B$2:$B$403)</f>
        <v>0.00701673351004501</v>
      </c>
      <c r="E5" s="7">
        <f>SUMIF($C$2:$C$403,C5,$D$2:$D$403)</f>
        <v>0.00751883936850758</v>
      </c>
      <c r="F5" s="5">
        <f t="shared" si="0"/>
        <v>0.000502105858462573</v>
      </c>
      <c r="G5">
        <f t="shared" si="1"/>
        <v>2</v>
      </c>
    </row>
    <row r="6" spans="1:7">
      <c r="A6" t="s">
        <v>297</v>
      </c>
      <c r="B6">
        <v>1678430</v>
      </c>
      <c r="C6" t="s">
        <v>666</v>
      </c>
      <c r="D6" s="5">
        <f>B6/SUM($B$2:$B$403)</f>
        <v>0.0054585405627228</v>
      </c>
      <c r="E6" s="7">
        <f>SUMIF($C$2:$C$403,C6,$D$2:$D$403)</f>
        <v>0.0061195182031659</v>
      </c>
      <c r="F6" s="5">
        <f t="shared" si="0"/>
        <v>0.000660977640443098</v>
      </c>
      <c r="G6">
        <f t="shared" si="1"/>
        <v>2</v>
      </c>
    </row>
    <row r="7" spans="1:7">
      <c r="A7" t="s">
        <v>268</v>
      </c>
      <c r="B7">
        <v>1132617</v>
      </c>
      <c r="C7" t="s">
        <v>65</v>
      </c>
      <c r="D7" s="5">
        <f>B7/SUM($B$2:$B$403)</f>
        <v>0.00368346361571791</v>
      </c>
      <c r="E7" s="7">
        <f>SUMIF($C$2:$C$403,C7,$D$2:$D$403)</f>
        <v>0.00440916270164205</v>
      </c>
      <c r="F7" s="5">
        <f t="shared" si="0"/>
        <v>0.00072569908592414</v>
      </c>
      <c r="G7">
        <f t="shared" si="1"/>
        <v>2</v>
      </c>
    </row>
    <row r="8" spans="1:7">
      <c r="A8" t="s">
        <v>294</v>
      </c>
      <c r="B8">
        <v>792017</v>
      </c>
      <c r="C8" t="s">
        <v>135</v>
      </c>
      <c r="D8" s="5">
        <f>B8/SUM($B$2:$B$403)</f>
        <v>0.00257577433724732</v>
      </c>
      <c r="E8" s="7">
        <f>SUMIF($C$2:$C$403,C8,$D$2:$D$403)</f>
        <v>0.00321179482113439</v>
      </c>
      <c r="F8" s="5">
        <f t="shared" si="0"/>
        <v>0.000636020483887069</v>
      </c>
      <c r="G8">
        <f t="shared" si="1"/>
        <v>2</v>
      </c>
    </row>
    <row r="9" spans="1:7">
      <c r="A9" t="s">
        <v>159</v>
      </c>
      <c r="B9">
        <v>470898</v>
      </c>
      <c r="C9" t="s">
        <v>508</v>
      </c>
      <c r="D9" s="5">
        <f>B9/SUM($B$2:$B$403)</f>
        <v>0.00153144059264017</v>
      </c>
      <c r="E9" s="7">
        <f>SUMIF($C$2:$C$403,C9,$D$2:$D$403)</f>
        <v>0.00312545294604891</v>
      </c>
      <c r="F9" s="5">
        <f t="shared" si="0"/>
        <v>0.00159401235340874</v>
      </c>
      <c r="G9">
        <f t="shared" si="1"/>
        <v>2</v>
      </c>
    </row>
    <row r="10" spans="1:7">
      <c r="A10" t="s">
        <v>314</v>
      </c>
      <c r="B10">
        <v>505207</v>
      </c>
      <c r="C10" t="s">
        <v>668</v>
      </c>
      <c r="D10" s="5">
        <f>B10/SUM($B$2:$B$403)</f>
        <v>0.00164301931094624</v>
      </c>
      <c r="E10" s="7">
        <f>SUMIF($C$2:$C$403,C10,$D$2:$D$403)</f>
        <v>0.00303597272641345</v>
      </c>
      <c r="F10" s="5">
        <f t="shared" si="0"/>
        <v>0.0013929534154672</v>
      </c>
      <c r="G10">
        <f t="shared" si="1"/>
        <v>2</v>
      </c>
    </row>
    <row r="11" spans="1:7">
      <c r="A11" t="s">
        <v>263</v>
      </c>
      <c r="B11">
        <v>587309</v>
      </c>
      <c r="C11" t="s">
        <v>684</v>
      </c>
      <c r="D11" s="5">
        <f>B11/SUM($B$2:$B$403)</f>
        <v>0.00191002901482467</v>
      </c>
      <c r="E11" s="7">
        <f>SUMIF($C$2:$C$403,C11,$D$2:$D$403)</f>
        <v>0.00269244595458477</v>
      </c>
      <c r="F11" s="5">
        <f t="shared" si="0"/>
        <v>0.000782416939760097</v>
      </c>
      <c r="G11">
        <f t="shared" si="1"/>
        <v>2</v>
      </c>
    </row>
    <row r="12" spans="1:7">
      <c r="A12" t="s">
        <v>202</v>
      </c>
      <c r="B12">
        <v>400747</v>
      </c>
      <c r="C12" t="s">
        <v>660</v>
      </c>
      <c r="D12" s="5">
        <f>B12/SUM($B$2:$B$403)</f>
        <v>0.00130329757862376</v>
      </c>
      <c r="E12" s="7">
        <f>SUMIF($C$2:$C$403,C12,$D$2:$D$403)</f>
        <v>0.0024685112492188</v>
      </c>
      <c r="F12" s="5">
        <f t="shared" si="0"/>
        <v>0.00116521367059504</v>
      </c>
      <c r="G12">
        <f t="shared" si="1"/>
        <v>2</v>
      </c>
    </row>
    <row r="13" spans="1:7">
      <c r="A13" t="s">
        <v>191</v>
      </c>
      <c r="B13">
        <v>262503</v>
      </c>
      <c r="C13" t="s">
        <v>699</v>
      </c>
      <c r="D13" s="5">
        <f>B13/SUM($B$2:$B$403)</f>
        <v>0.000853704517517218</v>
      </c>
      <c r="E13" s="7">
        <f>SUMIF($C$2:$C$403,C13,$D$2:$D$403)</f>
        <v>0.00152227597612012</v>
      </c>
      <c r="F13" s="5">
        <f t="shared" si="0"/>
        <v>0.0006685714586029</v>
      </c>
      <c r="G13">
        <f t="shared" si="1"/>
        <v>2</v>
      </c>
    </row>
    <row r="14" spans="1:7">
      <c r="A14" t="s">
        <v>182</v>
      </c>
      <c r="B14">
        <v>225405</v>
      </c>
      <c r="C14" t="s">
        <v>682</v>
      </c>
      <c r="D14" s="5">
        <f>B14/SUM($B$2:$B$403)</f>
        <v>0.000733055495636121</v>
      </c>
      <c r="E14" s="7">
        <f>SUMIF($C$2:$C$403,C14,$D$2:$D$403)</f>
        <v>0.00151065271868837</v>
      </c>
      <c r="F14" s="5">
        <f t="shared" si="0"/>
        <v>0.000777597223052248</v>
      </c>
      <c r="G14">
        <f t="shared" si="1"/>
        <v>2</v>
      </c>
    </row>
    <row r="15" spans="1:7">
      <c r="A15" t="s">
        <v>176</v>
      </c>
      <c r="B15">
        <v>294815</v>
      </c>
      <c r="C15" t="s">
        <v>129</v>
      </c>
      <c r="D15" s="5">
        <f>B15/SUM($B$2:$B$403)</f>
        <v>0.000958788651298609</v>
      </c>
      <c r="E15" s="7">
        <f>SUMIF($C$2:$C$403,C15,$D$2:$D$403)</f>
        <v>0.0011268998497211</v>
      </c>
      <c r="F15" s="5">
        <f t="shared" si="0"/>
        <v>0.000168111198422494</v>
      </c>
      <c r="G15">
        <f t="shared" si="1"/>
        <v>2</v>
      </c>
    </row>
    <row r="16" spans="1:7">
      <c r="A16" t="s">
        <v>189</v>
      </c>
      <c r="B16">
        <v>106892</v>
      </c>
      <c r="C16" t="s">
        <v>656</v>
      </c>
      <c r="D16" s="5">
        <f>B16/SUM($B$2:$B$403)</f>
        <v>0.000347631011022543</v>
      </c>
      <c r="E16" s="7">
        <f>SUMIF($C$2:$C$403,C16,$D$2:$D$403)</f>
        <v>0.000832620696048267</v>
      </c>
      <c r="F16" s="5">
        <f t="shared" si="0"/>
        <v>0.000484989685025724</v>
      </c>
      <c r="G16">
        <f t="shared" si="1"/>
        <v>2</v>
      </c>
    </row>
    <row r="17" spans="1:7">
      <c r="A17" t="s">
        <v>257</v>
      </c>
      <c r="B17">
        <v>191231</v>
      </c>
      <c r="C17" t="s">
        <v>590</v>
      </c>
      <c r="D17" s="5">
        <f>B17/SUM($B$2:$B$403)</f>
        <v>0.000621915820349996</v>
      </c>
      <c r="E17" s="7">
        <f>SUMIF($C$2:$C$403,C17,$D$2:$D$403)</f>
        <v>0.000746740629176356</v>
      </c>
      <c r="F17" s="5">
        <f t="shared" si="0"/>
        <v>0.00012482480882636</v>
      </c>
      <c r="G17">
        <f t="shared" si="1"/>
        <v>2</v>
      </c>
    </row>
    <row r="18" spans="1:7">
      <c r="A18" t="s">
        <v>275</v>
      </c>
      <c r="B18">
        <v>98530</v>
      </c>
      <c r="C18" t="s">
        <v>147</v>
      </c>
      <c r="D18" s="5">
        <f>B18/SUM($B$2:$B$403)</f>
        <v>0.00032043636115005</v>
      </c>
      <c r="E18" s="7">
        <f>SUMIF($C$2:$C$403,C18,$D$2:$D$403)</f>
        <v>0.000740463940076391</v>
      </c>
      <c r="F18" s="5">
        <f t="shared" si="0"/>
        <v>0.000420027578926341</v>
      </c>
      <c r="G18">
        <f t="shared" si="1"/>
        <v>2</v>
      </c>
    </row>
    <row r="19" spans="1:7">
      <c r="A19" t="s">
        <v>62</v>
      </c>
      <c r="B19">
        <v>59988</v>
      </c>
      <c r="C19" t="s">
        <v>242</v>
      </c>
      <c r="D19" s="5">
        <f>B19/SUM($B$2:$B$403)</f>
        <v>0.000195091205040791</v>
      </c>
      <c r="E19" s="7">
        <f>SUMIF($C$2:$C$403,C19,$D$2:$D$403)</f>
        <v>0.000589602254081988</v>
      </c>
      <c r="F19" s="5">
        <f t="shared" si="0"/>
        <v>0.000394511049041196</v>
      </c>
      <c r="G19">
        <f t="shared" si="1"/>
        <v>2</v>
      </c>
    </row>
    <row r="20" spans="1:7">
      <c r="A20" t="s">
        <v>290</v>
      </c>
      <c r="B20">
        <v>129246</v>
      </c>
      <c r="C20" t="s">
        <v>195</v>
      </c>
      <c r="D20" s="5">
        <f>B20/SUM($B$2:$B$403)</f>
        <v>0.000420330030784526</v>
      </c>
      <c r="E20" s="7">
        <f>SUMIF($C$2:$C$403,C20,$D$2:$D$403)</f>
        <v>0.000537782169046314</v>
      </c>
      <c r="F20" s="5">
        <f t="shared" si="0"/>
        <v>0.000117452138261789</v>
      </c>
      <c r="G20">
        <f t="shared" si="1"/>
        <v>2</v>
      </c>
    </row>
    <row r="21" spans="1:7">
      <c r="A21" t="s">
        <v>125</v>
      </c>
      <c r="B21">
        <v>92280</v>
      </c>
      <c r="C21" t="s">
        <v>219</v>
      </c>
      <c r="D21" s="5">
        <f>B21/SUM($B$2:$B$403)</f>
        <v>0.00030011029541182</v>
      </c>
      <c r="E21" s="7">
        <f>SUMIF($C$2:$C$403,C21,$D$2:$D$403)</f>
        <v>0.00051138430095076</v>
      </c>
      <c r="F21" s="5">
        <f t="shared" si="0"/>
        <v>0.000211274005538941</v>
      </c>
      <c r="G21">
        <f t="shared" si="1"/>
        <v>2</v>
      </c>
    </row>
    <row r="22" spans="1:7">
      <c r="A22" t="s">
        <v>649</v>
      </c>
      <c r="B22">
        <v>3284695</v>
      </c>
      <c r="C22" t="s">
        <v>59</v>
      </c>
      <c r="D22" s="5">
        <f>B22/SUM($B$2:$B$403)</f>
        <v>0.0106823882400057</v>
      </c>
      <c r="E22" s="7">
        <f>SUMIF($C$2:$C$403,C22,$D$2:$D$403)</f>
        <v>0.0124943415485155</v>
      </c>
      <c r="F22" s="5">
        <f t="shared" si="0"/>
        <v>0.00181195330850982</v>
      </c>
      <c r="G22">
        <f t="shared" si="1"/>
        <v>1</v>
      </c>
    </row>
    <row r="23" spans="1:7">
      <c r="A23" t="s">
        <v>16</v>
      </c>
      <c r="B23">
        <v>60705</v>
      </c>
      <c r="C23" t="s">
        <v>236</v>
      </c>
      <c r="D23" s="5">
        <f>B23/SUM($B$2:$B$403)</f>
        <v>0.000197423011302281</v>
      </c>
      <c r="E23" s="7">
        <f>SUMIF($C$2:$C$403,C23,$D$2:$D$403)</f>
        <v>0.0116378239035001</v>
      </c>
      <c r="F23" s="5">
        <f t="shared" si="0"/>
        <v>0.0114404008921979</v>
      </c>
      <c r="G23">
        <f t="shared" si="1"/>
        <v>1</v>
      </c>
    </row>
    <row r="24" spans="1:7">
      <c r="A24" t="s">
        <v>127</v>
      </c>
      <c r="B24">
        <v>53808</v>
      </c>
      <c r="C24" t="s">
        <v>17</v>
      </c>
      <c r="D24" s="5">
        <f>B24/SUM($B$2:$B$403)</f>
        <v>0.00017499279123883</v>
      </c>
      <c r="E24" s="7">
        <f>SUMIF($C$2:$C$403,C24,$D$2:$D$403)</f>
        <v>0.0110911600567688</v>
      </c>
      <c r="F24" s="5">
        <f t="shared" si="0"/>
        <v>0.01091616726553</v>
      </c>
      <c r="G24">
        <f t="shared" si="1"/>
        <v>1</v>
      </c>
    </row>
    <row r="25" spans="1:7">
      <c r="A25" t="s">
        <v>475</v>
      </c>
      <c r="B25">
        <v>2449940</v>
      </c>
      <c r="C25" t="s">
        <v>476</v>
      </c>
      <c r="D25" s="5">
        <f>B25/SUM($B$2:$B$403)</f>
        <v>0.00796762263915511</v>
      </c>
      <c r="E25" s="7">
        <f>SUMIF($C$2:$C$403,C25,$D$2:$D$403)</f>
        <v>0.00877399831912217</v>
      </c>
      <c r="F25" s="5">
        <f t="shared" si="0"/>
        <v>0.000806375679967063</v>
      </c>
      <c r="G25">
        <f t="shared" si="1"/>
        <v>1</v>
      </c>
    </row>
    <row r="26" spans="1:7">
      <c r="A26" t="s">
        <v>320</v>
      </c>
      <c r="B26">
        <v>858033</v>
      </c>
      <c r="C26" t="s">
        <v>171</v>
      </c>
      <c r="D26" s="5">
        <f>B26/SUM($B$2:$B$403)</f>
        <v>0.00279046962617132</v>
      </c>
      <c r="E26" s="7">
        <f>SUMIF($C$2:$C$403,C26,$D$2:$D$403)</f>
        <v>0.00853885012980974</v>
      </c>
      <c r="F26" s="5">
        <f t="shared" si="0"/>
        <v>0.00574838050363841</v>
      </c>
      <c r="G26">
        <f t="shared" si="1"/>
        <v>1</v>
      </c>
    </row>
    <row r="27" spans="1:7">
      <c r="A27" t="s">
        <v>158</v>
      </c>
      <c r="B27">
        <v>1937403</v>
      </c>
      <c r="C27" t="s">
        <v>107</v>
      </c>
      <c r="D27" s="5">
        <f>B27/SUM($B$2:$B$403)</f>
        <v>0.00630076491831107</v>
      </c>
      <c r="E27" s="7">
        <f>SUMIF($C$2:$C$403,C27,$D$2:$D$403)</f>
        <v>0.0084874138008952</v>
      </c>
      <c r="F27" s="5">
        <f t="shared" si="0"/>
        <v>0.00218664888258413</v>
      </c>
      <c r="G27">
        <f t="shared" si="1"/>
        <v>1</v>
      </c>
    </row>
    <row r="28" spans="1:7">
      <c r="A28" t="s">
        <v>354</v>
      </c>
      <c r="B28">
        <v>2504190</v>
      </c>
      <c r="C28" t="s">
        <v>428</v>
      </c>
      <c r="D28" s="5">
        <f>B28/SUM($B$2:$B$403)</f>
        <v>0.00814405288976294</v>
      </c>
      <c r="E28" s="7">
        <f>SUMIF($C$2:$C$403,C28,$D$2:$D$403)</f>
        <v>0.00814469681952553</v>
      </c>
      <c r="F28" s="5">
        <f t="shared" si="0"/>
        <v>6.43929762587925e-7</v>
      </c>
      <c r="G28">
        <f t="shared" si="1"/>
        <v>1</v>
      </c>
    </row>
    <row r="29" spans="1:7">
      <c r="A29" t="s">
        <v>483</v>
      </c>
      <c r="B29">
        <v>2332486</v>
      </c>
      <c r="C29" t="s">
        <v>482</v>
      </c>
      <c r="D29" s="5">
        <f>B29/SUM($B$2:$B$403)</f>
        <v>0.00758564220312022</v>
      </c>
      <c r="E29" s="7">
        <f>SUMIF($C$2:$C$403,C29,$D$2:$D$403)</f>
        <v>0.00779464619363751</v>
      </c>
      <c r="F29" s="5">
        <f t="shared" si="0"/>
        <v>0.000209003990517295</v>
      </c>
      <c r="G29">
        <f t="shared" si="1"/>
        <v>1</v>
      </c>
    </row>
    <row r="30" spans="1:7">
      <c r="A30" t="s">
        <v>280</v>
      </c>
      <c r="B30">
        <v>112440</v>
      </c>
      <c r="C30" t="s">
        <v>478</v>
      </c>
      <c r="D30" s="5">
        <f>B30/SUM($B$2:$B$403)</f>
        <v>0.000365674053057055</v>
      </c>
      <c r="E30" s="7">
        <f>SUMIF($C$2:$C$403,C30,$D$2:$D$403)</f>
        <v>0.00751883936850758</v>
      </c>
      <c r="F30" s="5">
        <f t="shared" si="0"/>
        <v>0.00715316531545052</v>
      </c>
      <c r="G30">
        <f t="shared" si="1"/>
        <v>1</v>
      </c>
    </row>
    <row r="31" spans="1:7">
      <c r="A31" t="s">
        <v>485</v>
      </c>
      <c r="B31">
        <v>2273476</v>
      </c>
      <c r="C31" t="s">
        <v>486</v>
      </c>
      <c r="D31" s="5">
        <f>B31/SUM($B$2:$B$403)</f>
        <v>0.00739373162084614</v>
      </c>
      <c r="E31" s="7">
        <f>SUMIF($C$2:$C$403,C31,$D$2:$D$403)</f>
        <v>0.00743216251985873</v>
      </c>
      <c r="F31" s="5">
        <f t="shared" si="0"/>
        <v>3.84308990125865e-5</v>
      </c>
      <c r="G31">
        <f t="shared" si="1"/>
        <v>1</v>
      </c>
    </row>
    <row r="32" spans="1:7">
      <c r="A32" t="s">
        <v>481</v>
      </c>
      <c r="B32">
        <v>1918573</v>
      </c>
      <c r="C32" t="s">
        <v>494</v>
      </c>
      <c r="D32" s="5">
        <f>B32/SUM($B$2:$B$403)</f>
        <v>0.00623952654745493</v>
      </c>
      <c r="E32" s="7">
        <f>SUMIF($C$2:$C$403,C32,$D$2:$D$403)</f>
        <v>0.00674437073349376</v>
      </c>
      <c r="F32" s="5">
        <f t="shared" si="0"/>
        <v>0.000504844186038828</v>
      </c>
      <c r="G32">
        <f t="shared" si="1"/>
        <v>1</v>
      </c>
    </row>
    <row r="33" spans="1:7">
      <c r="A33" t="s">
        <v>270</v>
      </c>
      <c r="B33">
        <v>2028466</v>
      </c>
      <c r="C33" t="s">
        <v>131</v>
      </c>
      <c r="D33" s="5">
        <f>B33/SUM($B$2:$B$403)</f>
        <v>0.00659691732220234</v>
      </c>
      <c r="E33" s="7">
        <f>SUMIF($C$2:$C$403,C33,$D$2:$D$403)</f>
        <v>0.00665963217847371</v>
      </c>
      <c r="F33" s="5">
        <f t="shared" si="0"/>
        <v>6.27148562713647e-5</v>
      </c>
      <c r="G33">
        <f t="shared" si="1"/>
        <v>1</v>
      </c>
    </row>
    <row r="34" spans="1:7">
      <c r="A34" t="s">
        <v>292</v>
      </c>
      <c r="B34">
        <v>2009066</v>
      </c>
      <c r="C34" t="s">
        <v>370</v>
      </c>
      <c r="D34" s="5">
        <f>B34/SUM($B$2:$B$403)</f>
        <v>0.00653382521415088</v>
      </c>
      <c r="E34" s="7">
        <f>SUMIF($C$2:$C$403,C34,$D$2:$D$403)</f>
        <v>0.00657789862901239</v>
      </c>
      <c r="F34" s="5">
        <f t="shared" si="0"/>
        <v>4.40734148615188e-5</v>
      </c>
      <c r="G34">
        <f t="shared" si="1"/>
        <v>1</v>
      </c>
    </row>
    <row r="35" spans="1:7">
      <c r="A35" t="s">
        <v>489</v>
      </c>
      <c r="B35">
        <v>1661613</v>
      </c>
      <c r="C35" t="s">
        <v>488</v>
      </c>
      <c r="D35" s="5">
        <f>B35/SUM($B$2:$B$403)</f>
        <v>0.00540384881111963</v>
      </c>
      <c r="E35" s="7">
        <f>SUMIF($C$2:$C$403,C35,$D$2:$D$403)</f>
        <v>0.00650838348418765</v>
      </c>
      <c r="F35" s="5">
        <f t="shared" si="0"/>
        <v>0.00110453467306801</v>
      </c>
      <c r="G35">
        <f t="shared" si="1"/>
        <v>1</v>
      </c>
    </row>
    <row r="36" spans="1:7">
      <c r="A36" t="s">
        <v>579</v>
      </c>
      <c r="B36">
        <v>1627242</v>
      </c>
      <c r="C36" t="s">
        <v>74</v>
      </c>
      <c r="D36" s="5">
        <f>B36/SUM($B$2:$B$403)</f>
        <v>0.00529206845824144</v>
      </c>
      <c r="E36" s="7">
        <f>SUMIF($C$2:$C$403,C36,$D$2:$D$403)</f>
        <v>0.00641064275143616</v>
      </c>
      <c r="F36" s="5">
        <f t="shared" si="0"/>
        <v>0.00111857429319472</v>
      </c>
      <c r="G36">
        <f t="shared" si="1"/>
        <v>1</v>
      </c>
    </row>
    <row r="37" spans="1:7">
      <c r="A37" t="s">
        <v>349</v>
      </c>
      <c r="B37">
        <v>1958432</v>
      </c>
      <c r="C37" t="s">
        <v>626</v>
      </c>
      <c r="D37" s="5">
        <f>B37/SUM($B$2:$B$403)</f>
        <v>0.00636915481213655</v>
      </c>
      <c r="E37" s="7">
        <f>SUMIF($C$2:$C$403,C37,$D$2:$D$403)</f>
        <v>0.00638198787700104</v>
      </c>
      <c r="F37" s="5">
        <f t="shared" si="0"/>
        <v>1.28330648644891e-5</v>
      </c>
      <c r="G37">
        <f t="shared" si="1"/>
        <v>1</v>
      </c>
    </row>
    <row r="38" spans="1:7">
      <c r="A38" t="s">
        <v>120</v>
      </c>
      <c r="B38">
        <v>1828853</v>
      </c>
      <c r="C38" t="s">
        <v>384</v>
      </c>
      <c r="D38" s="5">
        <f>B38/SUM($B$2:$B$403)</f>
        <v>0.00594774180856949</v>
      </c>
      <c r="E38" s="7">
        <f>SUMIF($C$2:$C$403,C38,$D$2:$D$403)</f>
        <v>0.00629289791782775</v>
      </c>
      <c r="F38" s="5">
        <f t="shared" si="0"/>
        <v>0.000345156109258255</v>
      </c>
      <c r="G38">
        <f t="shared" si="1"/>
        <v>1</v>
      </c>
    </row>
    <row r="39" spans="1:7">
      <c r="A39" t="s">
        <v>283</v>
      </c>
      <c r="B39">
        <v>118314</v>
      </c>
      <c r="C39" t="s">
        <v>666</v>
      </c>
      <c r="D39" s="5">
        <f>B39/SUM($B$2:$B$403)</f>
        <v>0.000384777302680473</v>
      </c>
      <c r="E39" s="7">
        <f>SUMIF($C$2:$C$403,C39,$D$2:$D$403)</f>
        <v>0.0061195182031659</v>
      </c>
      <c r="F39" s="5">
        <f t="shared" si="0"/>
        <v>0.00573474090048543</v>
      </c>
      <c r="G39">
        <f t="shared" si="1"/>
        <v>1</v>
      </c>
    </row>
    <row r="40" spans="1:7">
      <c r="A40" t="s">
        <v>527</v>
      </c>
      <c r="B40">
        <v>874291</v>
      </c>
      <c r="C40" t="s">
        <v>55</v>
      </c>
      <c r="D40" s="5">
        <f>B40/SUM($B$2:$B$403)</f>
        <v>0.00284334341445487</v>
      </c>
      <c r="E40" s="7">
        <f>SUMIF($C$2:$C$403,C40,$D$2:$D$403)</f>
        <v>0.00606947705540364</v>
      </c>
      <c r="F40" s="5">
        <f t="shared" si="0"/>
        <v>0.00322613364094877</v>
      </c>
      <c r="G40">
        <f t="shared" si="1"/>
        <v>1</v>
      </c>
    </row>
    <row r="41" spans="1:7">
      <c r="A41" t="s">
        <v>331</v>
      </c>
      <c r="B41">
        <v>1513223</v>
      </c>
      <c r="C41" t="s">
        <v>358</v>
      </c>
      <c r="D41" s="5">
        <f>B41/SUM($B$2:$B$403)</f>
        <v>0.00492125922793628</v>
      </c>
      <c r="E41" s="7">
        <f>SUMIF($C$2:$C$403,C41,$D$2:$D$403)</f>
        <v>0.00527094561072627</v>
      </c>
      <c r="F41" s="5">
        <f t="shared" si="0"/>
        <v>0.000349686382789993</v>
      </c>
      <c r="G41">
        <f t="shared" si="1"/>
        <v>1</v>
      </c>
    </row>
    <row r="42" spans="1:7">
      <c r="A42" t="s">
        <v>505</v>
      </c>
      <c r="B42">
        <v>1529184</v>
      </c>
      <c r="C42" t="s">
        <v>506</v>
      </c>
      <c r="D42" s="5">
        <f>B42/SUM($B$2:$B$403)</f>
        <v>0.00497316712157594</v>
      </c>
      <c r="E42" s="7">
        <f>SUMIF($C$2:$C$403,C42,$D$2:$D$403)</f>
        <v>0.00523548394339673</v>
      </c>
      <c r="F42" s="5">
        <f t="shared" si="0"/>
        <v>0.000262316821820784</v>
      </c>
      <c r="G42">
        <f t="shared" si="1"/>
        <v>1</v>
      </c>
    </row>
    <row r="43" spans="1:7">
      <c r="A43" t="s">
        <v>491</v>
      </c>
      <c r="B43">
        <v>1321100</v>
      </c>
      <c r="C43" t="s">
        <v>492</v>
      </c>
      <c r="D43" s="5">
        <f>B43/SUM($B$2:$B$403)</f>
        <v>0.00429644247148412</v>
      </c>
      <c r="E43" s="7">
        <f>SUMIF($C$2:$C$403,C43,$D$2:$D$403)</f>
        <v>0.0049915418850033</v>
      </c>
      <c r="F43" s="5">
        <f t="shared" si="0"/>
        <v>0.000695099413519179</v>
      </c>
      <c r="G43">
        <f t="shared" si="1"/>
        <v>1</v>
      </c>
    </row>
    <row r="44" spans="1:7">
      <c r="A44" t="s">
        <v>301</v>
      </c>
      <c r="B44">
        <v>1181983</v>
      </c>
      <c r="C44" t="s">
        <v>658</v>
      </c>
      <c r="D44" s="5">
        <f>B44/SUM($B$2:$B$403)</f>
        <v>0.00384401026551527</v>
      </c>
      <c r="E44" s="7">
        <f>SUMIF($C$2:$C$403,C44,$D$2:$D$403)</f>
        <v>0.00491707043230895</v>
      </c>
      <c r="F44" s="5">
        <f t="shared" si="0"/>
        <v>0.00107306016679368</v>
      </c>
      <c r="G44">
        <f t="shared" si="1"/>
        <v>1</v>
      </c>
    </row>
    <row r="45" spans="1:7">
      <c r="A45" t="s">
        <v>197</v>
      </c>
      <c r="B45">
        <v>1387894</v>
      </c>
      <c r="C45" t="s">
        <v>91</v>
      </c>
      <c r="D45" s="5">
        <f>B45/SUM($B$2:$B$403)</f>
        <v>0.00451366794907122</v>
      </c>
      <c r="E45" s="7">
        <f>SUMIF($C$2:$C$403,C45,$D$2:$D$403)</f>
        <v>0.00488933266995993</v>
      </c>
      <c r="F45" s="5">
        <f t="shared" si="0"/>
        <v>0.000375664720888709</v>
      </c>
      <c r="G45">
        <f t="shared" si="1"/>
        <v>1</v>
      </c>
    </row>
    <row r="46" spans="1:7">
      <c r="A46" t="s">
        <v>322</v>
      </c>
      <c r="B46">
        <v>1376343</v>
      </c>
      <c r="C46" t="s">
        <v>87</v>
      </c>
      <c r="D46" s="5">
        <f>B46/SUM($B$2:$B$403)</f>
        <v>0.00447610212741645</v>
      </c>
      <c r="E46" s="7">
        <f>SUMIF($C$2:$C$403,C46,$D$2:$D$403)</f>
        <v>0.00488440563162498</v>
      </c>
      <c r="F46" s="5">
        <f t="shared" si="0"/>
        <v>0.00040830350420853</v>
      </c>
      <c r="G46">
        <f t="shared" si="1"/>
        <v>1</v>
      </c>
    </row>
    <row r="47" spans="1:7">
      <c r="A47" t="s">
        <v>463</v>
      </c>
      <c r="B47">
        <v>1431379</v>
      </c>
      <c r="C47" t="s">
        <v>448</v>
      </c>
      <c r="D47" s="5">
        <f>B47/SUM($B$2:$B$403)</f>
        <v>0.00465508858405153</v>
      </c>
      <c r="E47" s="7">
        <f>SUMIF($C$2:$C$403,C47,$D$2:$D$403)</f>
        <v>0.00481928742134073</v>
      </c>
      <c r="F47" s="5">
        <f t="shared" si="0"/>
        <v>0.0001641988372892</v>
      </c>
      <c r="G47">
        <f t="shared" si="1"/>
        <v>1</v>
      </c>
    </row>
    <row r="48" spans="1:7">
      <c r="A48" t="s">
        <v>479</v>
      </c>
      <c r="B48">
        <v>1307519</v>
      </c>
      <c r="C48" t="s">
        <v>474</v>
      </c>
      <c r="D48" s="5">
        <f>B48/SUM($B$2:$B$403)</f>
        <v>0.00425227474367758</v>
      </c>
      <c r="E48" s="7">
        <f>SUMIF($C$2:$C$403,C48,$D$2:$D$403)</f>
        <v>0.0047490405381494</v>
      </c>
      <c r="F48" s="5">
        <f t="shared" si="0"/>
        <v>0.000496765794471826</v>
      </c>
      <c r="G48">
        <f t="shared" si="1"/>
        <v>1</v>
      </c>
    </row>
    <row r="49" spans="1:7">
      <c r="A49" t="s">
        <v>76</v>
      </c>
      <c r="B49">
        <v>754488</v>
      </c>
      <c r="C49" t="s">
        <v>77</v>
      </c>
      <c r="D49" s="5">
        <f>B49/SUM($B$2:$B$403)</f>
        <v>0.00245372362987292</v>
      </c>
      <c r="E49" s="7">
        <f>SUMIF($C$2:$C$403,C49,$D$2:$D$403)</f>
        <v>0.004692602370978</v>
      </c>
      <c r="F49" s="5">
        <f t="shared" si="0"/>
        <v>0.00223887874110509</v>
      </c>
      <c r="G49">
        <f t="shared" si="1"/>
        <v>1</v>
      </c>
    </row>
    <row r="50" spans="1:7">
      <c r="A50" t="s">
        <v>216</v>
      </c>
      <c r="B50">
        <v>216924</v>
      </c>
      <c r="C50" t="s">
        <v>65</v>
      </c>
      <c r="D50" s="5">
        <f>B50/SUM($B$2:$B$403)</f>
        <v>0.000705473837471972</v>
      </c>
      <c r="E50" s="7">
        <f>SUMIF($C$2:$C$403,C50,$D$2:$D$403)</f>
        <v>0.00440916270164205</v>
      </c>
      <c r="F50" s="5">
        <f t="shared" si="0"/>
        <v>0.00370368886417008</v>
      </c>
      <c r="G50">
        <f t="shared" si="1"/>
        <v>1</v>
      </c>
    </row>
    <row r="51" spans="1:7">
      <c r="A51" t="s">
        <v>289</v>
      </c>
      <c r="B51">
        <v>762579</v>
      </c>
      <c r="C51" t="s">
        <v>100</v>
      </c>
      <c r="D51" s="5">
        <f>B51/SUM($B$2:$B$403)</f>
        <v>0.002480036941535</v>
      </c>
      <c r="E51" s="7">
        <f>SUMIF($C$2:$C$403,C51,$D$2:$D$403)</f>
        <v>0.00407621849267932</v>
      </c>
      <c r="F51" s="5">
        <f t="shared" si="0"/>
        <v>0.00159618155114432</v>
      </c>
      <c r="G51">
        <f t="shared" si="1"/>
        <v>1</v>
      </c>
    </row>
    <row r="52" spans="1:7">
      <c r="A52" t="s">
        <v>192</v>
      </c>
      <c r="B52">
        <v>611198</v>
      </c>
      <c r="C52" t="s">
        <v>47</v>
      </c>
      <c r="D52" s="5">
        <f>B52/SUM($B$2:$B$403)</f>
        <v>0.00198772011633196</v>
      </c>
      <c r="E52" s="7">
        <f>SUMIF($C$2:$C$403,C52,$D$2:$D$403)</f>
        <v>0.00398944733108545</v>
      </c>
      <c r="F52" s="5">
        <f t="shared" si="0"/>
        <v>0.00200172721475349</v>
      </c>
      <c r="G52">
        <f t="shared" si="1"/>
        <v>1</v>
      </c>
    </row>
    <row r="53" spans="1:7">
      <c r="A53" t="s">
        <v>495</v>
      </c>
      <c r="B53">
        <v>432269</v>
      </c>
      <c r="C53" t="s">
        <v>496</v>
      </c>
      <c r="D53" s="5">
        <f>B53/SUM($B$2:$B$403)</f>
        <v>0.00140581249769584</v>
      </c>
      <c r="E53" s="7">
        <f>SUMIF($C$2:$C$403,C53,$D$2:$D$403)</f>
        <v>0.00394823582627987</v>
      </c>
      <c r="F53" s="5">
        <f t="shared" si="0"/>
        <v>0.00254242332858404</v>
      </c>
      <c r="G53">
        <f t="shared" si="1"/>
        <v>1</v>
      </c>
    </row>
    <row r="54" spans="1:7">
      <c r="A54" t="s">
        <v>477</v>
      </c>
      <c r="B54">
        <v>1039535</v>
      </c>
      <c r="C54" t="s">
        <v>498</v>
      </c>
      <c r="D54" s="5">
        <f>B54/SUM($B$2:$B$403)</f>
        <v>0.00338074507955056</v>
      </c>
      <c r="E54" s="7">
        <f>SUMIF($C$2:$C$403,C54,$D$2:$D$403)</f>
        <v>0.00358857503651082</v>
      </c>
      <c r="F54" s="5">
        <f t="shared" si="0"/>
        <v>0.000207829956960255</v>
      </c>
      <c r="G54">
        <f t="shared" si="1"/>
        <v>1</v>
      </c>
    </row>
    <row r="55" spans="1:7">
      <c r="A55" t="s">
        <v>264</v>
      </c>
      <c r="B55">
        <v>1057000</v>
      </c>
      <c r="C55" t="s">
        <v>678</v>
      </c>
      <c r="D55" s="5">
        <f>B55/SUM($B$2:$B$403)</f>
        <v>0.00343754423764947</v>
      </c>
      <c r="E55" s="7">
        <f>SUMIF($C$2:$C$403,C55,$D$2:$D$403)</f>
        <v>0.00345333352551493</v>
      </c>
      <c r="F55" s="5">
        <f t="shared" si="0"/>
        <v>1.57892878654572e-5</v>
      </c>
      <c r="G55">
        <f t="shared" si="1"/>
        <v>1</v>
      </c>
    </row>
    <row r="56" spans="1:7">
      <c r="A56" t="s">
        <v>345</v>
      </c>
      <c r="B56">
        <v>1049687</v>
      </c>
      <c r="C56" t="s">
        <v>356</v>
      </c>
      <c r="D56" s="5">
        <f>B56/SUM($B$2:$B$403)</f>
        <v>0.00341376111465048</v>
      </c>
      <c r="E56" s="7">
        <f>SUMIF($C$2:$C$403,C56,$D$2:$D$403)</f>
        <v>0.00344234118916369</v>
      </c>
      <c r="F56" s="5">
        <f t="shared" si="0"/>
        <v>2.85800745132105e-5</v>
      </c>
      <c r="G56">
        <f t="shared" si="1"/>
        <v>1</v>
      </c>
    </row>
    <row r="57" spans="1:7">
      <c r="A57" t="s">
        <v>326</v>
      </c>
      <c r="B57">
        <v>1024574</v>
      </c>
      <c r="C57" t="s">
        <v>662</v>
      </c>
      <c r="D57" s="5">
        <f>B57/SUM($B$2:$B$403)</f>
        <v>0.00333208935642902</v>
      </c>
      <c r="E57" s="7">
        <f>SUMIF($C$2:$C$403,C57,$D$2:$D$403)</f>
        <v>0.00334762497499406</v>
      </c>
      <c r="F57" s="5">
        <f t="shared" si="0"/>
        <v>1.55356185650439e-5</v>
      </c>
      <c r="G57">
        <f t="shared" si="1"/>
        <v>1</v>
      </c>
    </row>
    <row r="58" spans="1:7">
      <c r="A58" t="s">
        <v>295</v>
      </c>
      <c r="B58">
        <v>727548</v>
      </c>
      <c r="C58" t="s">
        <v>700</v>
      </c>
      <c r="D58" s="5">
        <f>B58/SUM($B$2:$B$403)</f>
        <v>0.00236611015611485</v>
      </c>
      <c r="E58" s="7">
        <f>SUMIF($C$2:$C$403,C58,$D$2:$D$403)</f>
        <v>0.00328378161555291</v>
      </c>
      <c r="F58" s="5">
        <f t="shared" si="0"/>
        <v>0.000917671459438058</v>
      </c>
      <c r="G58">
        <f t="shared" si="1"/>
        <v>1</v>
      </c>
    </row>
    <row r="59" spans="1:7">
      <c r="A59" t="s">
        <v>101</v>
      </c>
      <c r="B59">
        <v>962799</v>
      </c>
      <c r="C59" t="s">
        <v>436</v>
      </c>
      <c r="D59" s="5">
        <f>B59/SUM($B$2:$B$403)</f>
        <v>0.00313118652267235</v>
      </c>
      <c r="E59" s="7">
        <f>SUMIF($C$2:$C$403,C59,$D$2:$D$403)</f>
        <v>0.00327905295961957</v>
      </c>
      <c r="F59" s="5">
        <f t="shared" si="0"/>
        <v>0.000147866436947217</v>
      </c>
      <c r="G59">
        <f t="shared" si="1"/>
        <v>1</v>
      </c>
    </row>
    <row r="60" spans="1:7">
      <c r="A60" t="s">
        <v>157</v>
      </c>
      <c r="B60">
        <v>904745</v>
      </c>
      <c r="C60" t="s">
        <v>83</v>
      </c>
      <c r="D60" s="5">
        <f>B60/SUM($B$2:$B$403)</f>
        <v>0.0029423850154136</v>
      </c>
      <c r="E60" s="7">
        <f>SUMIF($C$2:$C$403,C60,$D$2:$D$403)</f>
        <v>0.00327642195367041</v>
      </c>
      <c r="F60" s="5">
        <f t="shared" si="0"/>
        <v>0.000334036938256814</v>
      </c>
      <c r="G60">
        <f t="shared" si="1"/>
        <v>1</v>
      </c>
    </row>
    <row r="61" spans="1:7">
      <c r="A61" t="s">
        <v>66</v>
      </c>
      <c r="B61">
        <v>93546</v>
      </c>
      <c r="C61" t="s">
        <v>135</v>
      </c>
      <c r="D61" s="5">
        <f>B61/SUM($B$2:$B$403)</f>
        <v>0.000304227543287756</v>
      </c>
      <c r="E61" s="7">
        <f>SUMIF($C$2:$C$403,C61,$D$2:$D$403)</f>
        <v>0.00321179482113439</v>
      </c>
      <c r="F61" s="5">
        <f t="shared" si="0"/>
        <v>0.00290756727784664</v>
      </c>
      <c r="G61">
        <f t="shared" si="1"/>
        <v>1</v>
      </c>
    </row>
    <row r="62" spans="1:7">
      <c r="A62" t="s">
        <v>421</v>
      </c>
      <c r="B62">
        <v>891698</v>
      </c>
      <c r="C62" t="s">
        <v>14</v>
      </c>
      <c r="D62" s="5">
        <f>B62/SUM($B$2:$B$403)</f>
        <v>0.00289995394666373</v>
      </c>
      <c r="E62" s="7">
        <f>SUMIF($C$2:$C$403,C62,$D$2:$D$403)</f>
        <v>0.00316759782379319</v>
      </c>
      <c r="F62" s="5">
        <f t="shared" si="0"/>
        <v>0.000267643877129459</v>
      </c>
      <c r="G62">
        <f t="shared" si="1"/>
        <v>1</v>
      </c>
    </row>
    <row r="63" spans="1:7">
      <c r="A63" t="s">
        <v>319</v>
      </c>
      <c r="B63">
        <v>634386</v>
      </c>
      <c r="C63" t="s">
        <v>378</v>
      </c>
      <c r="D63" s="5">
        <f>B63/SUM($B$2:$B$403)</f>
        <v>0.00206313144630605</v>
      </c>
      <c r="E63" s="7">
        <f>SUMIF($C$2:$C$403,C63,$D$2:$D$403)</f>
        <v>0.0031412292252323</v>
      </c>
      <c r="F63" s="5">
        <f t="shared" si="0"/>
        <v>0.00107809777892624</v>
      </c>
      <c r="G63">
        <f t="shared" si="1"/>
        <v>1</v>
      </c>
    </row>
    <row r="64" spans="1:7">
      <c r="A64" t="s">
        <v>84</v>
      </c>
      <c r="B64">
        <v>70106</v>
      </c>
      <c r="C64" t="s">
        <v>508</v>
      </c>
      <c r="D64" s="5">
        <f>B64/SUM($B$2:$B$403)</f>
        <v>0.000227996666343097</v>
      </c>
      <c r="E64" s="7">
        <f>SUMIF($C$2:$C$403,C64,$D$2:$D$403)</f>
        <v>0.00312545294604891</v>
      </c>
      <c r="F64" s="5">
        <f t="shared" si="0"/>
        <v>0.00289745627970581</v>
      </c>
      <c r="G64">
        <f t="shared" si="1"/>
        <v>1</v>
      </c>
    </row>
    <row r="65" spans="1:7">
      <c r="A65" t="s">
        <v>145</v>
      </c>
      <c r="B65">
        <v>861346</v>
      </c>
      <c r="C65" t="s">
        <v>126</v>
      </c>
      <c r="D65" s="5">
        <f>B65/SUM($B$2:$B$403)</f>
        <v>0.00280124406709785</v>
      </c>
      <c r="E65" s="7">
        <f>SUMIF($C$2:$C$403,C65,$D$2:$D$403)</f>
        <v>0.00312475698155803</v>
      </c>
      <c r="F65" s="5">
        <f t="shared" si="0"/>
        <v>0.000323512914460188</v>
      </c>
      <c r="G65">
        <f t="shared" si="1"/>
        <v>1</v>
      </c>
    </row>
    <row r="66" spans="1:7">
      <c r="A66" t="s">
        <v>293</v>
      </c>
      <c r="B66">
        <v>720217</v>
      </c>
      <c r="C66" t="s">
        <v>676</v>
      </c>
      <c r="D66" s="5">
        <f>B66/SUM($B$2:$B$403)</f>
        <v>0.00234226849404654</v>
      </c>
      <c r="E66" s="7">
        <f>SUMIF($C$2:$C$403,C66,$D$2:$D$403)</f>
        <v>0.00308034208879211</v>
      </c>
      <c r="F66" s="5">
        <f t="shared" ref="F66:F129" si="2">E66-D66</f>
        <v>0.000738073594745575</v>
      </c>
      <c r="G66">
        <f t="shared" ref="G66:G129" si="3">COUNTIF(C66:C466,C66)-1</f>
        <v>1</v>
      </c>
    </row>
    <row r="67" spans="1:7">
      <c r="A67" t="s">
        <v>279</v>
      </c>
      <c r="B67">
        <v>940985</v>
      </c>
      <c r="C67" t="s">
        <v>209</v>
      </c>
      <c r="D67" s="5">
        <f>B67/SUM($B$2:$B$403)</f>
        <v>0.00306024367499015</v>
      </c>
      <c r="E67" s="7">
        <f>SUMIF($C$2:$C$403,C67,$D$2:$D$403)</f>
        <v>0.00306445198364059</v>
      </c>
      <c r="F67" s="5">
        <f t="shared" si="2"/>
        <v>4.20830865044321e-6</v>
      </c>
      <c r="G67">
        <f t="shared" si="3"/>
        <v>1</v>
      </c>
    </row>
    <row r="68" spans="1:7">
      <c r="A68" t="s">
        <v>285</v>
      </c>
      <c r="B68">
        <v>827739</v>
      </c>
      <c r="C68" t="s">
        <v>151</v>
      </c>
      <c r="D68" s="5">
        <f>B68/SUM($B$2:$B$403)</f>
        <v>0.00269194837249549</v>
      </c>
      <c r="E68" s="7">
        <f>SUMIF($C$2:$C$403,C68,$D$2:$D$403)</f>
        <v>0.00303724107291551</v>
      </c>
      <c r="F68" s="5">
        <f t="shared" si="2"/>
        <v>0.000345292700420016</v>
      </c>
      <c r="G68">
        <f t="shared" si="3"/>
        <v>1</v>
      </c>
    </row>
    <row r="69" spans="1:7">
      <c r="A69" t="s">
        <v>315</v>
      </c>
      <c r="B69">
        <v>407974</v>
      </c>
      <c r="C69" t="s">
        <v>668</v>
      </c>
      <c r="D69" s="5">
        <f>B69/SUM($B$2:$B$403)</f>
        <v>0.00132680101495819</v>
      </c>
      <c r="E69" s="7">
        <f>SUMIF($C$2:$C$403,C69,$D$2:$D$403)</f>
        <v>0.00303597272641345</v>
      </c>
      <c r="F69" s="5">
        <f t="shared" si="2"/>
        <v>0.00170917171145526</v>
      </c>
      <c r="G69">
        <f t="shared" si="3"/>
        <v>1</v>
      </c>
    </row>
    <row r="70" spans="1:7">
      <c r="A70" t="s">
        <v>338</v>
      </c>
      <c r="B70">
        <v>162951</v>
      </c>
      <c r="C70" t="s">
        <v>684</v>
      </c>
      <c r="D70" s="5">
        <f>B70/SUM($B$2:$B$403)</f>
        <v>0.000529944438097653</v>
      </c>
      <c r="E70" s="7">
        <f>SUMIF($C$2:$C$403,C70,$D$2:$D$403)</f>
        <v>0.00269244595458477</v>
      </c>
      <c r="F70" s="5">
        <f t="shared" si="2"/>
        <v>0.00216250151648711</v>
      </c>
      <c r="G70">
        <f t="shared" si="3"/>
        <v>1</v>
      </c>
    </row>
    <row r="71" spans="1:7">
      <c r="A71" t="s">
        <v>324</v>
      </c>
      <c r="B71">
        <v>792760</v>
      </c>
      <c r="C71" t="s">
        <v>79</v>
      </c>
      <c r="D71" s="5">
        <f>B71/SUM($B$2:$B$403)</f>
        <v>0.00257819069994229</v>
      </c>
      <c r="E71" s="7">
        <f>SUMIF($C$2:$C$403,C71,$D$2:$D$403)</f>
        <v>0.0026725264101613</v>
      </c>
      <c r="F71" s="5">
        <f t="shared" si="2"/>
        <v>9.43357102190143e-5</v>
      </c>
      <c r="G71">
        <f t="shared" si="3"/>
        <v>1</v>
      </c>
    </row>
    <row r="72" spans="1:7">
      <c r="A72" t="s">
        <v>88</v>
      </c>
      <c r="B72">
        <v>534299</v>
      </c>
      <c r="C72" t="s">
        <v>133</v>
      </c>
      <c r="D72" s="5">
        <f>B72/SUM($B$2:$B$403)</f>
        <v>0.0017376314556593</v>
      </c>
      <c r="E72" s="7">
        <f>SUMIF($C$2:$C$403,C72,$D$2:$D$403)</f>
        <v>0.00260840661622611</v>
      </c>
      <c r="F72" s="5">
        <f t="shared" si="2"/>
        <v>0.000870775160566813</v>
      </c>
      <c r="G72">
        <f t="shared" si="3"/>
        <v>1</v>
      </c>
    </row>
    <row r="73" spans="1:7">
      <c r="A73" t="s">
        <v>375</v>
      </c>
      <c r="B73">
        <v>643866</v>
      </c>
      <c r="C73" t="s">
        <v>26</v>
      </c>
      <c r="D73" s="5">
        <f>B73/SUM($B$2:$B$403)</f>
        <v>0.0020939620228178</v>
      </c>
      <c r="E73" s="7">
        <f>SUMIF($C$2:$C$403,C73,$D$2:$D$403)</f>
        <v>0.00259576542942219</v>
      </c>
      <c r="F73" s="5">
        <f t="shared" si="2"/>
        <v>0.000501803406604388</v>
      </c>
      <c r="G73">
        <f t="shared" si="3"/>
        <v>1</v>
      </c>
    </row>
    <row r="74" spans="1:7">
      <c r="A74" t="s">
        <v>369</v>
      </c>
      <c r="B74">
        <v>714864</v>
      </c>
      <c r="C74" t="s">
        <v>156</v>
      </c>
      <c r="D74" s="5">
        <f>B74/SUM($B$2:$B$403)</f>
        <v>0.00232485962526306</v>
      </c>
      <c r="E74" s="7">
        <f>SUMIF($C$2:$C$403,C74,$D$2:$D$403)</f>
        <v>0.00256881469233855</v>
      </c>
      <c r="F74" s="5">
        <f t="shared" si="2"/>
        <v>0.000243955067075497</v>
      </c>
      <c r="G74">
        <f t="shared" si="3"/>
        <v>1</v>
      </c>
    </row>
    <row r="75" spans="1:7">
      <c r="A75" t="s">
        <v>112</v>
      </c>
      <c r="B75">
        <v>608535</v>
      </c>
      <c r="C75" t="s">
        <v>598</v>
      </c>
      <c r="D75" s="5">
        <f>B75/SUM($B$2:$B$403)</f>
        <v>0.00197905958624222</v>
      </c>
      <c r="E75" s="7">
        <f>SUMIF($C$2:$C$403,C75,$D$2:$D$403)</f>
        <v>0.0025431160409044</v>
      </c>
      <c r="F75" s="5">
        <f t="shared" si="2"/>
        <v>0.00056405645466218</v>
      </c>
      <c r="G75">
        <f t="shared" si="3"/>
        <v>1</v>
      </c>
    </row>
    <row r="76" spans="1:7">
      <c r="A76" t="s">
        <v>549</v>
      </c>
      <c r="B76">
        <v>237733</v>
      </c>
      <c r="C76" t="s">
        <v>149</v>
      </c>
      <c r="D76" s="5">
        <f>B76/SUM($B$2:$B$403)</f>
        <v>0.000773148253783465</v>
      </c>
      <c r="E76" s="7">
        <f>SUMIF($C$2:$C$403,C76,$D$2:$D$403)</f>
        <v>0.00249054795664956</v>
      </c>
      <c r="F76" s="5">
        <f t="shared" si="2"/>
        <v>0.00171739970286609</v>
      </c>
      <c r="G76">
        <f t="shared" si="3"/>
        <v>1</v>
      </c>
    </row>
    <row r="77" spans="1:7">
      <c r="A77" t="s">
        <v>237</v>
      </c>
      <c r="B77">
        <v>694713</v>
      </c>
      <c r="C77" t="s">
        <v>114</v>
      </c>
      <c r="D77" s="5">
        <f>B77/SUM($B$2:$B$403)</f>
        <v>0.00225932513715249</v>
      </c>
      <c r="E77" s="7">
        <f>SUMIF($C$2:$C$403,C77,$D$2:$D$403)</f>
        <v>0.00248804703752112</v>
      </c>
      <c r="F77" s="5">
        <f t="shared" si="2"/>
        <v>0.000228721900368638</v>
      </c>
      <c r="G77">
        <f t="shared" si="3"/>
        <v>1</v>
      </c>
    </row>
    <row r="78" spans="1:7">
      <c r="A78" t="s">
        <v>278</v>
      </c>
      <c r="B78">
        <v>235226</v>
      </c>
      <c r="C78" t="s">
        <v>660</v>
      </c>
      <c r="D78" s="5">
        <f>B78/SUM($B$2:$B$403)</f>
        <v>0.000764995062294546</v>
      </c>
      <c r="E78" s="7">
        <f>SUMIF($C$2:$C$403,C78,$D$2:$D$403)</f>
        <v>0.0024685112492188</v>
      </c>
      <c r="F78" s="5">
        <f t="shared" si="2"/>
        <v>0.00170351618692425</v>
      </c>
      <c r="G78">
        <f t="shared" si="3"/>
        <v>1</v>
      </c>
    </row>
    <row r="79" spans="1:7">
      <c r="A79" t="s">
        <v>174</v>
      </c>
      <c r="B79">
        <v>334635</v>
      </c>
      <c r="C79" t="s">
        <v>175</v>
      </c>
      <c r="D79" s="5">
        <f>B79/SUM($B$2:$B$403)</f>
        <v>0.00108829008133002</v>
      </c>
      <c r="E79" s="7">
        <f>SUMIF($C$2:$C$403,C79,$D$2:$D$403)</f>
        <v>0.00245948647603102</v>
      </c>
      <c r="F79" s="5">
        <f t="shared" si="2"/>
        <v>0.001371196394701</v>
      </c>
      <c r="G79">
        <f t="shared" si="3"/>
        <v>1</v>
      </c>
    </row>
    <row r="80" spans="1:7">
      <c r="A80" t="s">
        <v>304</v>
      </c>
      <c r="B80">
        <v>737451</v>
      </c>
      <c r="C80" t="s">
        <v>424</v>
      </c>
      <c r="D80" s="5">
        <f>B80/SUM($B$2:$B$403)</f>
        <v>0.00239831640075576</v>
      </c>
      <c r="E80" s="7">
        <f>SUMIF($C$2:$C$403,C80,$D$2:$D$403)</f>
        <v>0.00244365165777831</v>
      </c>
      <c r="F80" s="5">
        <f t="shared" si="2"/>
        <v>4.53352570225483e-5</v>
      </c>
      <c r="G80">
        <f t="shared" si="3"/>
        <v>1</v>
      </c>
    </row>
    <row r="81" spans="1:7">
      <c r="A81" t="s">
        <v>587</v>
      </c>
      <c r="B81">
        <v>715502</v>
      </c>
      <c r="C81" t="s">
        <v>179</v>
      </c>
      <c r="D81" s="5">
        <f>B81/SUM($B$2:$B$403)</f>
        <v>0.00232693451005362</v>
      </c>
      <c r="E81" s="7">
        <f>SUMIF($C$2:$C$403,C81,$D$2:$D$403)</f>
        <v>0.00244249063290334</v>
      </c>
      <c r="F81" s="5">
        <f t="shared" si="2"/>
        <v>0.000115556122849727</v>
      </c>
      <c r="G81">
        <f t="shared" si="3"/>
        <v>1</v>
      </c>
    </row>
    <row r="82" spans="1:7">
      <c r="A82" t="s">
        <v>207</v>
      </c>
      <c r="B82">
        <v>504147</v>
      </c>
      <c r="C82" t="s">
        <v>380</v>
      </c>
      <c r="D82" s="5">
        <f>B82/SUM($B$2:$B$403)</f>
        <v>0.00163957201019704</v>
      </c>
      <c r="E82" s="7">
        <f>SUMIF($C$2:$C$403,C82,$D$2:$D$403)</f>
        <v>0.00236925825717639</v>
      </c>
      <c r="F82" s="5">
        <f t="shared" si="2"/>
        <v>0.000729686246979351</v>
      </c>
      <c r="G82">
        <f t="shared" si="3"/>
        <v>1</v>
      </c>
    </row>
    <row r="83" spans="1:7">
      <c r="A83" t="s">
        <v>180</v>
      </c>
      <c r="B83">
        <v>318430</v>
      </c>
      <c r="C83" t="s">
        <v>522</v>
      </c>
      <c r="D83" s="5">
        <f>B83/SUM($B$2:$B$403)</f>
        <v>0.00103558865808394</v>
      </c>
      <c r="E83" s="7">
        <f>SUMIF($C$2:$C$403,C83,$D$2:$D$403)</f>
        <v>0.00235748214773029</v>
      </c>
      <c r="F83" s="5">
        <f t="shared" si="2"/>
        <v>0.00132189348964635</v>
      </c>
      <c r="G83">
        <f t="shared" si="3"/>
        <v>1</v>
      </c>
    </row>
    <row r="84" spans="1:7">
      <c r="A84" t="s">
        <v>379</v>
      </c>
      <c r="B84">
        <v>708962</v>
      </c>
      <c r="C84" t="s">
        <v>692</v>
      </c>
      <c r="D84" s="5">
        <f>B84/SUM($B$2:$B$403)</f>
        <v>0.00230566531486513</v>
      </c>
      <c r="E84" s="7">
        <f>SUMIF($C$2:$C$403,C84,$D$2:$D$403)</f>
        <v>0.00235476983751818</v>
      </c>
      <c r="F84" s="5">
        <f t="shared" si="2"/>
        <v>4.91045226530457e-5</v>
      </c>
      <c r="G84">
        <f t="shared" si="3"/>
        <v>1</v>
      </c>
    </row>
    <row r="85" spans="1:7">
      <c r="A85" t="s">
        <v>267</v>
      </c>
      <c r="B85">
        <v>588318</v>
      </c>
      <c r="C85" t="s">
        <v>512</v>
      </c>
      <c r="D85" s="5">
        <f>B85/SUM($B$2:$B$403)</f>
        <v>0.00191331045487745</v>
      </c>
      <c r="E85" s="7">
        <f>SUMIF($C$2:$C$403,C85,$D$2:$D$403)</f>
        <v>0.00222294960990735</v>
      </c>
      <c r="F85" s="5">
        <f t="shared" si="2"/>
        <v>0.000309639155029902</v>
      </c>
      <c r="G85">
        <f t="shared" si="3"/>
        <v>1</v>
      </c>
    </row>
    <row r="86" spans="1:7">
      <c r="A86" t="s">
        <v>46</v>
      </c>
      <c r="B86">
        <v>286618</v>
      </c>
      <c r="C86" t="s">
        <v>57</v>
      </c>
      <c r="D86" s="5">
        <f>B86/SUM($B$2:$B$403)</f>
        <v>0.000932130609561605</v>
      </c>
      <c r="E86" s="7">
        <f>SUMIF($C$2:$C$403,C86,$D$2:$D$403)</f>
        <v>0.00220847094676069</v>
      </c>
      <c r="F86" s="5">
        <f t="shared" si="2"/>
        <v>0.00127634033719909</v>
      </c>
      <c r="G86">
        <f t="shared" si="3"/>
        <v>1</v>
      </c>
    </row>
    <row r="87" spans="1:7">
      <c r="A87" t="s">
        <v>497</v>
      </c>
      <c r="B87">
        <v>558882</v>
      </c>
      <c r="C87" t="s">
        <v>484</v>
      </c>
      <c r="D87" s="5">
        <f>B87/SUM($B$2:$B$403)</f>
        <v>0.00181757956350616</v>
      </c>
      <c r="E87" s="7">
        <f>SUMIF($C$2:$C$403,C87,$D$2:$D$403)</f>
        <v>0.00219857133970355</v>
      </c>
      <c r="F87" s="5">
        <f t="shared" si="2"/>
        <v>0.000380991776197385</v>
      </c>
      <c r="G87">
        <f t="shared" si="3"/>
        <v>1</v>
      </c>
    </row>
    <row r="88" spans="1:7">
      <c r="A88" t="s">
        <v>342</v>
      </c>
      <c r="B88">
        <v>528172</v>
      </c>
      <c r="C88" t="s">
        <v>42</v>
      </c>
      <c r="D88" s="5">
        <f>B88/SUM($B$2:$B$403)</f>
        <v>0.00171770540689479</v>
      </c>
      <c r="E88" s="7">
        <f>SUMIF($C$2:$C$403,C88,$D$2:$D$403)</f>
        <v>0.00200086864173671</v>
      </c>
      <c r="F88" s="5">
        <f t="shared" si="2"/>
        <v>0.000283163234841913</v>
      </c>
      <c r="G88">
        <f t="shared" si="3"/>
        <v>1</v>
      </c>
    </row>
    <row r="89" spans="1:7">
      <c r="A89" t="s">
        <v>541</v>
      </c>
      <c r="B89">
        <v>451786</v>
      </c>
      <c r="C89" t="s">
        <v>251</v>
      </c>
      <c r="D89" s="5">
        <f>B89/SUM($B$2:$B$403)</f>
        <v>0.00146928510969792</v>
      </c>
      <c r="E89" s="7">
        <f>SUMIF($C$2:$C$403,C89,$D$2:$D$403)</f>
        <v>0.00191894971855586</v>
      </c>
      <c r="F89" s="5">
        <f t="shared" si="2"/>
        <v>0.000449664608857939</v>
      </c>
      <c r="G89">
        <f t="shared" si="3"/>
        <v>1</v>
      </c>
    </row>
    <row r="90" spans="1:7">
      <c r="A90" t="s">
        <v>348</v>
      </c>
      <c r="B90">
        <v>414959</v>
      </c>
      <c r="C90" t="s">
        <v>212</v>
      </c>
      <c r="D90" s="5">
        <f>B90/SUM($B$2:$B$403)</f>
        <v>0.00134951742602724</v>
      </c>
      <c r="E90" s="7">
        <f>SUMIF($C$2:$C$403,C90,$D$2:$D$403)</f>
        <v>0.00181043454487786</v>
      </c>
      <c r="F90" s="5">
        <f t="shared" si="2"/>
        <v>0.000460917118850623</v>
      </c>
      <c r="G90">
        <f t="shared" si="3"/>
        <v>1</v>
      </c>
    </row>
    <row r="91" spans="1:7">
      <c r="A91" t="s">
        <v>130</v>
      </c>
      <c r="B91">
        <v>341652</v>
      </c>
      <c r="C91" t="s">
        <v>672</v>
      </c>
      <c r="D91" s="5">
        <f>B91/SUM($B$2:$B$403)</f>
        <v>0.00111111056185565</v>
      </c>
      <c r="E91" s="7">
        <f>SUMIF($C$2:$C$403,C91,$D$2:$D$403)</f>
        <v>0.00165670769665699</v>
      </c>
      <c r="F91" s="5">
        <f t="shared" si="2"/>
        <v>0.000545597134801349</v>
      </c>
      <c r="G91">
        <f t="shared" si="3"/>
        <v>1</v>
      </c>
    </row>
    <row r="92" spans="1:7">
      <c r="A92" t="s">
        <v>113</v>
      </c>
      <c r="B92">
        <v>224601</v>
      </c>
      <c r="C92" t="s">
        <v>85</v>
      </c>
      <c r="D92" s="5">
        <f>B92/SUM($B$2:$B$403)</f>
        <v>0.000730440750539555</v>
      </c>
      <c r="E92" s="7">
        <f>SUMIF($C$2:$C$403,C92,$D$2:$D$403)</f>
        <v>0.00164443725729214</v>
      </c>
      <c r="F92" s="5">
        <f t="shared" si="2"/>
        <v>0.000913996506752586</v>
      </c>
      <c r="G92">
        <f t="shared" si="3"/>
        <v>1</v>
      </c>
    </row>
    <row r="93" spans="1:7">
      <c r="A93" t="s">
        <v>44</v>
      </c>
      <c r="B93">
        <v>245187</v>
      </c>
      <c r="C93" t="s">
        <v>680</v>
      </c>
      <c r="D93" s="5">
        <f>B93/SUM($B$2:$B$403)</f>
        <v>0.000797389932825507</v>
      </c>
      <c r="E93" s="7">
        <f>SUMIF($C$2:$C$403,C93,$D$2:$D$403)</f>
        <v>0.0015979539840767</v>
      </c>
      <c r="F93" s="5">
        <f t="shared" si="2"/>
        <v>0.000800564051251189</v>
      </c>
      <c r="G93">
        <f t="shared" si="3"/>
        <v>1</v>
      </c>
    </row>
    <row r="94" spans="1:7">
      <c r="A94" t="s">
        <v>108</v>
      </c>
      <c r="B94">
        <v>240412</v>
      </c>
      <c r="C94" t="s">
        <v>109</v>
      </c>
      <c r="D94" s="5">
        <f>B94/SUM($B$2:$B$403)</f>
        <v>0.0007818608186015</v>
      </c>
      <c r="E94" s="7">
        <f>SUMIF($C$2:$C$403,C94,$D$2:$D$403)</f>
        <v>0.00154753558453433</v>
      </c>
      <c r="F94" s="5">
        <f t="shared" si="2"/>
        <v>0.000765674765932832</v>
      </c>
      <c r="G94">
        <f t="shared" si="3"/>
        <v>1</v>
      </c>
    </row>
    <row r="95" spans="1:7">
      <c r="A95" t="s">
        <v>493</v>
      </c>
      <c r="B95">
        <v>75969</v>
      </c>
      <c r="C95" t="s">
        <v>699</v>
      </c>
      <c r="D95" s="5">
        <f>B95/SUM($B$2:$B$403)</f>
        <v>0.000247064142090816</v>
      </c>
      <c r="E95" s="7">
        <f>SUMIF($C$2:$C$403,C95,$D$2:$D$403)</f>
        <v>0.00152227597612012</v>
      </c>
      <c r="F95" s="5">
        <f t="shared" si="2"/>
        <v>0.0012752118340293</v>
      </c>
      <c r="G95">
        <f t="shared" si="3"/>
        <v>1</v>
      </c>
    </row>
    <row r="96" spans="1:7">
      <c r="A96" t="s">
        <v>123</v>
      </c>
      <c r="B96">
        <v>121763</v>
      </c>
      <c r="C96" t="s">
        <v>682</v>
      </c>
      <c r="D96" s="5">
        <f>B96/SUM($B$2:$B$403)</f>
        <v>0.000395994038797458</v>
      </c>
      <c r="E96" s="7">
        <f>SUMIF($C$2:$C$403,C96,$D$2:$D$403)</f>
        <v>0.00151065271868837</v>
      </c>
      <c r="F96" s="5">
        <f t="shared" si="2"/>
        <v>0.00111465867989091</v>
      </c>
      <c r="G96">
        <f t="shared" si="3"/>
        <v>1</v>
      </c>
    </row>
    <row r="97" spans="1:7">
      <c r="A97" t="s">
        <v>206</v>
      </c>
      <c r="B97">
        <v>410301</v>
      </c>
      <c r="C97" t="s">
        <v>610</v>
      </c>
      <c r="D97" s="5">
        <f>B97/SUM($B$2:$B$403)</f>
        <v>0.00133436881575385</v>
      </c>
      <c r="E97" s="7">
        <f>SUMIF($C$2:$C$403,C97,$D$2:$D$403)</f>
        <v>0.00145781795645104</v>
      </c>
      <c r="F97" s="5">
        <f t="shared" si="2"/>
        <v>0.000123449140697196</v>
      </c>
      <c r="G97">
        <f t="shared" si="3"/>
        <v>1</v>
      </c>
    </row>
    <row r="98" spans="1:7">
      <c r="A98" t="s">
        <v>183</v>
      </c>
      <c r="B98">
        <v>417476</v>
      </c>
      <c r="C98" t="s">
        <v>224</v>
      </c>
      <c r="D98" s="5">
        <f>B98/SUM($B$2:$B$403)</f>
        <v>0.00135770313922134</v>
      </c>
      <c r="E98" s="7">
        <f>SUMIF($C$2:$C$403,C98,$D$2:$D$403)</f>
        <v>0.00144668902893805</v>
      </c>
      <c r="F98" s="5">
        <f t="shared" si="2"/>
        <v>8.89858897167122e-5</v>
      </c>
      <c r="G98">
        <f t="shared" si="3"/>
        <v>1</v>
      </c>
    </row>
    <row r="99" spans="1:7">
      <c r="A99" t="s">
        <v>409</v>
      </c>
      <c r="B99">
        <v>405214</v>
      </c>
      <c r="C99" t="s">
        <v>137</v>
      </c>
      <c r="D99" s="5">
        <f>B99/SUM($B$2:$B$403)</f>
        <v>0.00131782502432819</v>
      </c>
      <c r="E99" s="7">
        <f>SUMIF($C$2:$C$403,C99,$D$2:$D$403)</f>
        <v>0.00132777016177259</v>
      </c>
      <c r="F99" s="5">
        <f t="shared" si="2"/>
        <v>9.94513744440127e-6</v>
      </c>
      <c r="G99">
        <f t="shared" si="3"/>
        <v>1</v>
      </c>
    </row>
    <row r="100" spans="1:7">
      <c r="A100" t="s">
        <v>677</v>
      </c>
      <c r="B100">
        <v>404254</v>
      </c>
      <c r="C100" t="s">
        <v>390</v>
      </c>
      <c r="D100" s="5">
        <f>B100/SUM($B$2:$B$403)</f>
        <v>0.00131470294063079</v>
      </c>
      <c r="E100" s="7">
        <f>SUMIF($C$2:$C$403,C100,$D$2:$D$403)</f>
        <v>0.00131948363129243</v>
      </c>
      <c r="F100" s="5">
        <f t="shared" si="2"/>
        <v>4.78069066163164e-6</v>
      </c>
      <c r="G100">
        <f t="shared" si="3"/>
        <v>1</v>
      </c>
    </row>
    <row r="101" spans="1:7">
      <c r="A101" t="s">
        <v>276</v>
      </c>
      <c r="B101">
        <v>334500</v>
      </c>
      <c r="C101" t="s">
        <v>287</v>
      </c>
      <c r="D101" s="5">
        <f>B101/SUM($B$2:$B$403)</f>
        <v>0.00108785103831007</v>
      </c>
      <c r="E101" s="7">
        <f>SUMIF($C$2:$C$403,C101,$D$2:$D$403)</f>
        <v>0.0012066918533831</v>
      </c>
      <c r="F101" s="5">
        <f t="shared" si="2"/>
        <v>0.000118840815073025</v>
      </c>
      <c r="G101">
        <f t="shared" si="3"/>
        <v>1</v>
      </c>
    </row>
    <row r="102" spans="1:7">
      <c r="A102" t="s">
        <v>537</v>
      </c>
      <c r="B102">
        <v>315818</v>
      </c>
      <c r="C102" t="s">
        <v>536</v>
      </c>
      <c r="D102" s="5">
        <f>B102/SUM($B$2:$B$403)</f>
        <v>0.00102709398869062</v>
      </c>
      <c r="E102" s="7">
        <f>SUMIF($C$2:$C$403,C102,$D$2:$D$403)</f>
        <v>0.00119232376403406</v>
      </c>
      <c r="F102" s="5">
        <f t="shared" si="2"/>
        <v>0.000165229775343443</v>
      </c>
      <c r="G102">
        <f t="shared" si="3"/>
        <v>1</v>
      </c>
    </row>
    <row r="103" spans="1:7">
      <c r="A103" t="s">
        <v>241</v>
      </c>
      <c r="B103">
        <v>33876</v>
      </c>
      <c r="C103" t="s">
        <v>129</v>
      </c>
      <c r="D103" s="5">
        <f>B103/SUM($B$2:$B$403)</f>
        <v>0.000110170528471725</v>
      </c>
      <c r="E103" s="7">
        <f>SUMIF($C$2:$C$403,C103,$D$2:$D$403)</f>
        <v>0.0011268998497211</v>
      </c>
      <c r="F103" s="5">
        <f t="shared" si="2"/>
        <v>0.00101672932124938</v>
      </c>
      <c r="G103">
        <f t="shared" si="3"/>
        <v>1</v>
      </c>
    </row>
    <row r="104" spans="1:7">
      <c r="A104" t="s">
        <v>306</v>
      </c>
      <c r="B104">
        <v>309022</v>
      </c>
      <c r="C104" t="s">
        <v>468</v>
      </c>
      <c r="D104" s="5">
        <f>B104/SUM($B$2:$B$403)</f>
        <v>0.00100499223784949</v>
      </c>
      <c r="E104" s="7">
        <f>SUMIF($C$2:$C$403,C104,$D$2:$D$403)</f>
        <v>0.00108165565347306</v>
      </c>
      <c r="F104" s="5">
        <f t="shared" si="2"/>
        <v>7.66634156235677e-5</v>
      </c>
      <c r="G104">
        <f t="shared" si="3"/>
        <v>1</v>
      </c>
    </row>
    <row r="105" spans="1:7">
      <c r="A105" t="s">
        <v>254</v>
      </c>
      <c r="B105">
        <v>226145</v>
      </c>
      <c r="C105" t="s">
        <v>504</v>
      </c>
      <c r="D105" s="5">
        <f>B105/SUM($B$2:$B$403)</f>
        <v>0.000735462101819527</v>
      </c>
      <c r="E105" s="7">
        <f>SUMIF($C$2:$C$403,C105,$D$2:$D$403)</f>
        <v>0.0010775156404035</v>
      </c>
      <c r="F105" s="5">
        <f t="shared" si="2"/>
        <v>0.000342053538583972</v>
      </c>
      <c r="G105">
        <f t="shared" si="3"/>
        <v>1</v>
      </c>
    </row>
    <row r="106" spans="1:7">
      <c r="A106" t="s">
        <v>152</v>
      </c>
      <c r="B106">
        <v>193842</v>
      </c>
      <c r="C106" t="s">
        <v>618</v>
      </c>
      <c r="D106" s="5">
        <f>B106/SUM($B$2:$B$403)</f>
        <v>0.000630407237572799</v>
      </c>
      <c r="E106" s="7">
        <f>SUMIF($C$2:$C$403,C106,$D$2:$D$403)</f>
        <v>0.00103595290118197</v>
      </c>
      <c r="F106" s="5">
        <f t="shared" si="2"/>
        <v>0.000405545663609167</v>
      </c>
      <c r="G106">
        <f t="shared" si="3"/>
        <v>1</v>
      </c>
    </row>
    <row r="107" spans="1:7">
      <c r="A107" t="s">
        <v>155</v>
      </c>
      <c r="B107">
        <v>289721</v>
      </c>
      <c r="C107" t="s">
        <v>63</v>
      </c>
      <c r="D107" s="5">
        <f>B107/SUM($B$2:$B$403)</f>
        <v>0.000942222094679322</v>
      </c>
      <c r="E107" s="7">
        <f>SUMIF($C$2:$C$403,C107,$D$2:$D$403)</f>
        <v>0.000979833446721342</v>
      </c>
      <c r="F107" s="5">
        <f t="shared" si="2"/>
        <v>3.7611352042021e-5</v>
      </c>
      <c r="G107">
        <f t="shared" si="3"/>
        <v>1</v>
      </c>
    </row>
    <row r="108" spans="1:7">
      <c r="A108" t="s">
        <v>11</v>
      </c>
      <c r="B108">
        <v>131130</v>
      </c>
      <c r="C108" t="s">
        <v>173</v>
      </c>
      <c r="D108" s="5">
        <f>B108/SUM($B$2:$B$403)</f>
        <v>0.000426457120040658</v>
      </c>
      <c r="E108" s="7">
        <f>SUMIF($C$2:$C$403,C108,$D$2:$D$403)</f>
        <v>0.000891312617388721</v>
      </c>
      <c r="F108" s="5">
        <f t="shared" si="2"/>
        <v>0.000464855497348063</v>
      </c>
      <c r="G108">
        <f t="shared" si="3"/>
        <v>1</v>
      </c>
    </row>
    <row r="109" spans="1:7">
      <c r="A109" t="s">
        <v>43</v>
      </c>
      <c r="B109">
        <v>86076</v>
      </c>
      <c r="C109" t="s">
        <v>656</v>
      </c>
      <c r="D109" s="5">
        <f>B109/SUM($B$2:$B$403)</f>
        <v>0.000279933829517423</v>
      </c>
      <c r="E109" s="7">
        <f>SUMIF($C$2:$C$403,C109,$D$2:$D$403)</f>
        <v>0.000832620696048267</v>
      </c>
      <c r="F109" s="5">
        <f t="shared" si="2"/>
        <v>0.000552686866530844</v>
      </c>
      <c r="G109">
        <f t="shared" si="3"/>
        <v>1</v>
      </c>
    </row>
    <row r="110" spans="1:7">
      <c r="A110" t="s">
        <v>551</v>
      </c>
      <c r="B110">
        <v>224159</v>
      </c>
      <c r="C110" t="s">
        <v>562</v>
      </c>
      <c r="D110" s="5">
        <f>B110/SUM($B$2:$B$403)</f>
        <v>0.000729003291170547</v>
      </c>
      <c r="E110" s="7">
        <f>SUMIF($C$2:$C$403,C110,$D$2:$D$403)</f>
        <v>0.000787568377860795</v>
      </c>
      <c r="F110" s="5">
        <f t="shared" si="2"/>
        <v>5.85650866902475e-5</v>
      </c>
      <c r="G110">
        <f t="shared" si="3"/>
        <v>1</v>
      </c>
    </row>
    <row r="111" spans="1:7">
      <c r="A111" t="s">
        <v>330</v>
      </c>
      <c r="B111">
        <v>201272</v>
      </c>
      <c r="C111" t="s">
        <v>169</v>
      </c>
      <c r="D111" s="5">
        <f>B111/SUM($B$2:$B$403)</f>
        <v>0.000654570864522407</v>
      </c>
      <c r="E111" s="7">
        <f>SUMIF($C$2:$C$403,C111,$D$2:$D$403)</f>
        <v>0.000753505143854039</v>
      </c>
      <c r="F111" s="5">
        <f t="shared" si="2"/>
        <v>9.89342793316316e-5</v>
      </c>
      <c r="G111">
        <f t="shared" si="3"/>
        <v>1</v>
      </c>
    </row>
    <row r="112" spans="1:7">
      <c r="A112" t="s">
        <v>72</v>
      </c>
      <c r="B112">
        <v>30797</v>
      </c>
      <c r="C112" t="s">
        <v>590</v>
      </c>
      <c r="D112" s="5">
        <f>B112/SUM($B$2:$B$403)</f>
        <v>0.000100157095446444</v>
      </c>
      <c r="E112" s="7">
        <f>SUMIF($C$2:$C$403,C112,$D$2:$D$403)</f>
        <v>0.000746740629176356</v>
      </c>
      <c r="F112" s="5">
        <f t="shared" si="2"/>
        <v>0.000646583533729913</v>
      </c>
      <c r="G112">
        <f t="shared" si="3"/>
        <v>1</v>
      </c>
    </row>
    <row r="113" spans="1:7">
      <c r="A113" t="s">
        <v>286</v>
      </c>
      <c r="B113">
        <v>84583</v>
      </c>
      <c r="C113" t="s">
        <v>147</v>
      </c>
      <c r="D113" s="5">
        <f>B113/SUM($B$2:$B$403)</f>
        <v>0.000275078338933875</v>
      </c>
      <c r="E113" s="7">
        <f>SUMIF($C$2:$C$403,C113,$D$2:$D$403)</f>
        <v>0.000740463940076391</v>
      </c>
      <c r="F113" s="5">
        <f t="shared" si="2"/>
        <v>0.000465385601142516</v>
      </c>
      <c r="G113">
        <f t="shared" si="3"/>
        <v>1</v>
      </c>
    </row>
    <row r="114" spans="1:7">
      <c r="A114" t="s">
        <v>328</v>
      </c>
      <c r="B114">
        <v>185549</v>
      </c>
      <c r="C114" t="s">
        <v>40</v>
      </c>
      <c r="D114" s="5">
        <f>B114/SUM($B$2:$B$403)</f>
        <v>0.000603436987466057</v>
      </c>
      <c r="E114" s="7">
        <f>SUMIF($C$2:$C$403,C114,$D$2:$D$403)</f>
        <v>0.000718235354585062</v>
      </c>
      <c r="F114" s="5">
        <f t="shared" si="2"/>
        <v>0.000114798367119005</v>
      </c>
      <c r="G114">
        <f t="shared" si="3"/>
        <v>1</v>
      </c>
    </row>
    <row r="115" spans="1:7">
      <c r="A115" t="s">
        <v>288</v>
      </c>
      <c r="B115">
        <v>207528</v>
      </c>
      <c r="C115" t="s">
        <v>701</v>
      </c>
      <c r="D115" s="5">
        <f>B115/SUM($B$2:$B$403)</f>
        <v>0.000674916443283746</v>
      </c>
      <c r="E115" s="7">
        <f>SUMIF($C$2:$C$403,C115,$D$2:$D$403)</f>
        <v>0.000694894526776538</v>
      </c>
      <c r="F115" s="5">
        <f t="shared" si="2"/>
        <v>1.99780834927916e-5</v>
      </c>
      <c r="G115">
        <f t="shared" si="3"/>
        <v>1</v>
      </c>
    </row>
    <row r="116" spans="1:7">
      <c r="A116" t="s">
        <v>274</v>
      </c>
      <c r="B116">
        <v>184096</v>
      </c>
      <c r="C116" t="s">
        <v>246</v>
      </c>
      <c r="D116" s="5">
        <f>B116/SUM($B$2:$B$403)</f>
        <v>0.000598711583703233</v>
      </c>
      <c r="E116" s="7">
        <f>SUMIF($C$2:$C$403,C116,$D$2:$D$403)</f>
        <v>0.000646843707371362</v>
      </c>
      <c r="F116" s="5">
        <f t="shared" si="2"/>
        <v>4.81321236681289e-5</v>
      </c>
      <c r="G116">
        <f t="shared" si="3"/>
        <v>1</v>
      </c>
    </row>
    <row r="117" spans="1:7">
      <c r="A117" t="s">
        <v>300</v>
      </c>
      <c r="B117">
        <v>90744</v>
      </c>
      <c r="C117" t="s">
        <v>164</v>
      </c>
      <c r="D117" s="5">
        <f>B117/SUM($B$2:$B$403)</f>
        <v>0.000295114961495992</v>
      </c>
      <c r="E117" s="7">
        <f>SUMIF($C$2:$C$403,C117,$D$2:$D$403)</f>
        <v>0.000631841444771289</v>
      </c>
      <c r="F117" s="5">
        <f t="shared" si="2"/>
        <v>0.000336726483275297</v>
      </c>
      <c r="G117">
        <f t="shared" si="3"/>
        <v>1</v>
      </c>
    </row>
    <row r="118" spans="1:7">
      <c r="A118" t="s">
        <v>134</v>
      </c>
      <c r="B118">
        <v>98736</v>
      </c>
      <c r="C118" t="s">
        <v>242</v>
      </c>
      <c r="D118" s="5">
        <f>B118/SUM($B$2:$B$403)</f>
        <v>0.000321106308276782</v>
      </c>
      <c r="E118" s="7">
        <f>SUMIF($C$2:$C$403,C118,$D$2:$D$403)</f>
        <v>0.000589602254081988</v>
      </c>
      <c r="F118" s="5">
        <f t="shared" si="2"/>
        <v>0.000268495945805206</v>
      </c>
      <c r="G118">
        <f t="shared" si="3"/>
        <v>1</v>
      </c>
    </row>
    <row r="119" spans="1:7">
      <c r="A119" t="s">
        <v>655</v>
      </c>
      <c r="B119">
        <v>71871</v>
      </c>
      <c r="C119" t="s">
        <v>398</v>
      </c>
      <c r="D119" s="5">
        <f>B119/SUM($B$2:$B$403)</f>
        <v>0.000233736747307574</v>
      </c>
      <c r="E119" s="7">
        <f>SUMIF($C$2:$C$403,C119,$D$2:$D$403)</f>
        <v>0.000544429605585345</v>
      </c>
      <c r="F119" s="5">
        <f t="shared" si="2"/>
        <v>0.000310692858277772</v>
      </c>
      <c r="G119">
        <f t="shared" si="3"/>
        <v>1</v>
      </c>
    </row>
    <row r="120" spans="1:7">
      <c r="A120" t="s">
        <v>583</v>
      </c>
      <c r="B120">
        <v>29094</v>
      </c>
      <c r="C120" t="s">
        <v>195</v>
      </c>
      <c r="D120" s="5">
        <f>B120/SUM($B$2:$B$403)</f>
        <v>9.46186490540906e-5</v>
      </c>
      <c r="E120" s="7">
        <f>SUMIF($C$2:$C$403,C120,$D$2:$D$403)</f>
        <v>0.000537782169046314</v>
      </c>
      <c r="F120" s="5">
        <f t="shared" si="2"/>
        <v>0.000443163519992224</v>
      </c>
      <c r="G120">
        <f t="shared" si="3"/>
        <v>1</v>
      </c>
    </row>
    <row r="121" spans="1:7">
      <c r="A121" t="s">
        <v>56</v>
      </c>
      <c r="B121">
        <v>64917</v>
      </c>
      <c r="C121" t="s">
        <v>219</v>
      </c>
      <c r="D121" s="5">
        <f>B121/SUM($B$2:$B$403)</f>
        <v>0.000211121153524589</v>
      </c>
      <c r="E121" s="7">
        <f>SUMIF($C$2:$C$403,C121,$D$2:$D$403)</f>
        <v>0.00051138430095076</v>
      </c>
      <c r="F121" s="5">
        <f t="shared" si="2"/>
        <v>0.000300263147426171</v>
      </c>
      <c r="G121">
        <f t="shared" si="3"/>
        <v>1</v>
      </c>
    </row>
    <row r="122" spans="1:7">
      <c r="A122" t="s">
        <v>92</v>
      </c>
      <c r="B122">
        <v>110603</v>
      </c>
      <c r="C122" t="s">
        <v>249</v>
      </c>
      <c r="D122" s="5">
        <f>B122/SUM($B$2:$B$403)</f>
        <v>0.000359699815815274</v>
      </c>
      <c r="E122" s="7">
        <f>SUMIF($C$2:$C$403,C122,$D$2:$D$403)</f>
        <v>0.000501949754277703</v>
      </c>
      <c r="F122" s="5">
        <f t="shared" si="2"/>
        <v>0.000142249938462429</v>
      </c>
      <c r="G122">
        <f t="shared" si="3"/>
        <v>1</v>
      </c>
    </row>
    <row r="123" spans="1:7">
      <c r="A123" t="s">
        <v>353</v>
      </c>
      <c r="B123">
        <v>141461</v>
      </c>
      <c r="C123" t="s">
        <v>538</v>
      </c>
      <c r="D123" s="5">
        <f>B123/SUM($B$2:$B$403)</f>
        <v>0.000460055293663323</v>
      </c>
      <c r="E123" s="7">
        <f>SUMIF($C$2:$C$403,C123,$D$2:$D$403)</f>
        <v>0.000463369255421284</v>
      </c>
      <c r="F123" s="5">
        <f t="shared" si="2"/>
        <v>3.31396175796105e-6</v>
      </c>
      <c r="G123">
        <f t="shared" si="3"/>
        <v>1</v>
      </c>
    </row>
    <row r="124" spans="1:7">
      <c r="A124" t="s">
        <v>223</v>
      </c>
      <c r="B124">
        <v>63944</v>
      </c>
      <c r="C124" t="s">
        <v>333</v>
      </c>
      <c r="D124" s="5">
        <f>B124/SUM($B$2:$B$403)</f>
        <v>0.000207956791610462</v>
      </c>
      <c r="E124" s="7">
        <f>SUMIF($C$2:$C$403,C124,$D$2:$D$403)</f>
        <v>0.000381677984176707</v>
      </c>
      <c r="F124" s="5">
        <f t="shared" si="2"/>
        <v>0.000173721192566246</v>
      </c>
      <c r="G124">
        <f t="shared" si="3"/>
        <v>1</v>
      </c>
    </row>
    <row r="125" spans="1:7">
      <c r="A125" t="s">
        <v>58</v>
      </c>
      <c r="B125">
        <v>85150</v>
      </c>
      <c r="C125" t="s">
        <v>592</v>
      </c>
      <c r="D125" s="5">
        <f>B125/SUM($B$2:$B$403)</f>
        <v>0.000276922319617647</v>
      </c>
      <c r="E125" s="7">
        <f>SUMIF($C$2:$C$403,C125,$D$2:$D$403)</f>
        <v>0.000300136312775965</v>
      </c>
      <c r="F125" s="5">
        <f t="shared" si="2"/>
        <v>2.32139931583178e-5</v>
      </c>
      <c r="G125">
        <f t="shared" si="3"/>
        <v>1</v>
      </c>
    </row>
    <row r="126" spans="1:7">
      <c r="A126" t="s">
        <v>204</v>
      </c>
      <c r="B126">
        <v>74467</v>
      </c>
      <c r="C126" t="s">
        <v>366</v>
      </c>
      <c r="D126" s="5">
        <f>B126/SUM($B$2:$B$403)</f>
        <v>0.000242179381972605</v>
      </c>
      <c r="E126" s="7">
        <f>SUMIF($C$2:$C$403,C126,$D$2:$D$403)</f>
        <v>0.000265081166761183</v>
      </c>
      <c r="F126" s="5">
        <f t="shared" si="2"/>
        <v>2.29017847885786e-5</v>
      </c>
      <c r="G126">
        <f t="shared" si="3"/>
        <v>1</v>
      </c>
    </row>
    <row r="127" spans="1:7">
      <c r="A127" t="s">
        <v>186</v>
      </c>
      <c r="B127">
        <v>68982</v>
      </c>
      <c r="C127" t="s">
        <v>454</v>
      </c>
      <c r="D127" s="5">
        <f>B127/SUM($B$2:$B$403)</f>
        <v>0.000224341226680734</v>
      </c>
      <c r="E127" s="7">
        <f>SUMIF($C$2:$C$403,C127,$D$2:$D$403)</f>
        <v>0.000259767120134581</v>
      </c>
      <c r="F127" s="5">
        <f t="shared" si="2"/>
        <v>3.54258934538465e-5</v>
      </c>
      <c r="G127">
        <f t="shared" si="3"/>
        <v>1</v>
      </c>
    </row>
    <row r="128" spans="1:7">
      <c r="A128" t="s">
        <v>335</v>
      </c>
      <c r="B128">
        <v>60890</v>
      </c>
      <c r="C128" t="s">
        <v>362</v>
      </c>
      <c r="D128" s="5">
        <f>B128/SUM($B$2:$B$403)</f>
        <v>0.000198024662848133</v>
      </c>
      <c r="E128" s="7">
        <f>SUMIF($C$2:$C$403,C128,$D$2:$D$403)</f>
        <v>0.000216175026509743</v>
      </c>
      <c r="F128" s="5">
        <f t="shared" si="2"/>
        <v>1.81503636616099e-5</v>
      </c>
      <c r="G128">
        <f t="shared" si="3"/>
        <v>1</v>
      </c>
    </row>
    <row r="129" spans="1:7">
      <c r="A129" t="s">
        <v>309</v>
      </c>
      <c r="B129">
        <v>37172</v>
      </c>
      <c r="C129" t="s">
        <v>556</v>
      </c>
      <c r="D129" s="5">
        <f>B129/SUM($B$2:$B$403)</f>
        <v>0.000120889682499438</v>
      </c>
      <c r="E129" s="7">
        <f>SUMIF($C$2:$C$403,C129,$D$2:$D$403)</f>
        <v>0.00013808716019924</v>
      </c>
      <c r="F129" s="5">
        <f t="shared" si="2"/>
        <v>1.71974776998017e-5</v>
      </c>
      <c r="G129">
        <f t="shared" si="3"/>
        <v>1</v>
      </c>
    </row>
    <row r="130" spans="1:7">
      <c r="A130" t="s">
        <v>227</v>
      </c>
      <c r="B130">
        <v>557152</v>
      </c>
      <c r="C130" t="s">
        <v>59</v>
      </c>
      <c r="D130" s="5">
        <f>B130/SUM($B$2:$B$403)</f>
        <v>0.00181195330850982</v>
      </c>
      <c r="E130" s="7">
        <f>SUMIF($C$2:$C$403,C130,$D$2:$D$403)</f>
        <v>0.0124943415485155</v>
      </c>
      <c r="F130" s="5">
        <f t="shared" ref="F130:F193" si="4">E130-D130</f>
        <v>0.0106823882400057</v>
      </c>
      <c r="G130">
        <f t="shared" ref="G130:G193" si="5">COUNTIF(C130:C530,C130)-1</f>
        <v>0</v>
      </c>
    </row>
    <row r="131" spans="1:7">
      <c r="A131" t="s">
        <v>163</v>
      </c>
      <c r="B131">
        <v>8887</v>
      </c>
      <c r="C131" t="s">
        <v>236</v>
      </c>
      <c r="D131" s="5">
        <f>B131/SUM($B$2:$B$403)</f>
        <v>2.89020393945041e-5</v>
      </c>
      <c r="E131" s="7">
        <f>SUMIF($C$2:$C$403,C131,$D$2:$D$403)</f>
        <v>0.0116378239035001</v>
      </c>
      <c r="F131" s="5">
        <f t="shared" si="4"/>
        <v>0.0116089218641056</v>
      </c>
      <c r="G131">
        <f t="shared" si="5"/>
        <v>0</v>
      </c>
    </row>
    <row r="132" spans="1:7">
      <c r="A132" t="s">
        <v>117</v>
      </c>
      <c r="B132">
        <v>6355</v>
      </c>
      <c r="C132" t="s">
        <v>17</v>
      </c>
      <c r="D132" s="5">
        <f>B132/SUM($B$2:$B$403)</f>
        <v>2.06675436426324e-5</v>
      </c>
      <c r="E132" s="7">
        <f>SUMIF($C$2:$C$403,C132,$D$2:$D$403)</f>
        <v>0.0110911600567688</v>
      </c>
      <c r="F132" s="5">
        <f t="shared" si="4"/>
        <v>0.0110704925131262</v>
      </c>
      <c r="G132">
        <f t="shared" si="5"/>
        <v>0</v>
      </c>
    </row>
    <row r="133" spans="1:7">
      <c r="A133" t="s">
        <v>222</v>
      </c>
      <c r="B133">
        <v>247950</v>
      </c>
      <c r="C133" t="s">
        <v>476</v>
      </c>
      <c r="D133" s="5">
        <f>B133/SUM($B$2:$B$403)</f>
        <v>0.000806375679967064</v>
      </c>
      <c r="E133" s="7">
        <f>SUMIF($C$2:$C$403,C133,$D$2:$D$403)</f>
        <v>0.00877399831912217</v>
      </c>
      <c r="F133" s="5">
        <f t="shared" si="4"/>
        <v>0.00796762263915511</v>
      </c>
      <c r="G133">
        <f t="shared" si="5"/>
        <v>0</v>
      </c>
    </row>
    <row r="134" spans="1:7">
      <c r="A134" t="s">
        <v>52</v>
      </c>
      <c r="B134">
        <v>47239</v>
      </c>
      <c r="C134" t="s">
        <v>171</v>
      </c>
      <c r="D134" s="5">
        <f>B134/SUM($B$2:$B$403)</f>
        <v>0.00015362928310532</v>
      </c>
      <c r="E134" s="7">
        <f>SUMIF($C$2:$C$403,C134,$D$2:$D$403)</f>
        <v>0.00853885012980974</v>
      </c>
      <c r="F134" s="5">
        <f t="shared" si="4"/>
        <v>0.00838522084670442</v>
      </c>
      <c r="G134">
        <f t="shared" si="5"/>
        <v>0</v>
      </c>
    </row>
    <row r="135" spans="1:7">
      <c r="A135" t="s">
        <v>34</v>
      </c>
      <c r="B135">
        <v>672366</v>
      </c>
      <c r="C135" t="s">
        <v>107</v>
      </c>
      <c r="D135" s="5">
        <f>B135/SUM($B$2:$B$403)</f>
        <v>0.00218664888258413</v>
      </c>
      <c r="E135" s="7">
        <f>SUMIF($C$2:$C$403,C135,$D$2:$D$403)</f>
        <v>0.0084874138008952</v>
      </c>
      <c r="F135" s="5">
        <f t="shared" si="4"/>
        <v>0.00630076491831107</v>
      </c>
      <c r="G135">
        <f t="shared" si="5"/>
        <v>0</v>
      </c>
    </row>
    <row r="136" spans="1:7">
      <c r="A136" t="s">
        <v>13</v>
      </c>
      <c r="B136">
        <v>198</v>
      </c>
      <c r="C136" t="s">
        <v>428</v>
      </c>
      <c r="D136" s="5">
        <f>B136/SUM($B$2:$B$403)</f>
        <v>6.43929762587129e-7</v>
      </c>
      <c r="E136" s="7">
        <f>SUMIF($C$2:$C$403,C136,$D$2:$D$403)</f>
        <v>0.00814469681952553</v>
      </c>
      <c r="F136" s="5">
        <f t="shared" si="4"/>
        <v>0.00814405288976294</v>
      </c>
      <c r="G136">
        <f t="shared" si="5"/>
        <v>0</v>
      </c>
    </row>
    <row r="137" spans="1:7">
      <c r="A137" t="s">
        <v>334</v>
      </c>
      <c r="B137">
        <v>64266</v>
      </c>
      <c r="C137" t="s">
        <v>482</v>
      </c>
      <c r="D137" s="5">
        <f>B137/SUM($B$2:$B$403)</f>
        <v>0.000209003990517295</v>
      </c>
      <c r="E137" s="7">
        <f>SUMIF($C$2:$C$403,C137,$D$2:$D$403)</f>
        <v>0.00779464619363751</v>
      </c>
      <c r="F137" s="5">
        <f t="shared" si="4"/>
        <v>0.00758564220312022</v>
      </c>
      <c r="G137">
        <f t="shared" si="5"/>
        <v>0</v>
      </c>
    </row>
    <row r="138" spans="1:7">
      <c r="A138" t="s">
        <v>238</v>
      </c>
      <c r="B138">
        <v>41951</v>
      </c>
      <c r="C138" t="s">
        <v>478</v>
      </c>
      <c r="D138" s="5">
        <f>B138/SUM($B$2:$B$403)</f>
        <v>0.000136431805405518</v>
      </c>
      <c r="E138" s="7">
        <f>SUMIF($C$2:$C$403,C138,$D$2:$D$403)</f>
        <v>0.00751883936850758</v>
      </c>
      <c r="F138" s="5">
        <f t="shared" si="4"/>
        <v>0.00738240756310206</v>
      </c>
      <c r="G138">
        <f t="shared" si="5"/>
        <v>0</v>
      </c>
    </row>
    <row r="139" spans="1:7">
      <c r="A139" t="s">
        <v>260</v>
      </c>
      <c r="B139">
        <v>11817</v>
      </c>
      <c r="C139" t="s">
        <v>486</v>
      </c>
      <c r="D139" s="5">
        <f>B139/SUM($B$2:$B$403)</f>
        <v>3.84308990125864e-5</v>
      </c>
      <c r="E139" s="7">
        <f>SUMIF($C$2:$C$403,C139,$D$2:$D$403)</f>
        <v>0.00743216251985873</v>
      </c>
      <c r="F139" s="5">
        <f t="shared" si="4"/>
        <v>0.00739373162084614</v>
      </c>
      <c r="G139">
        <f t="shared" si="5"/>
        <v>0</v>
      </c>
    </row>
    <row r="140" spans="1:7">
      <c r="A140" t="s">
        <v>140</v>
      </c>
      <c r="B140">
        <v>155233</v>
      </c>
      <c r="C140" t="s">
        <v>494</v>
      </c>
      <c r="D140" s="5">
        <f>B140/SUM($B$2:$B$403)</f>
        <v>0.000504844186038827</v>
      </c>
      <c r="E140" s="7">
        <f>SUMIF($C$2:$C$403,C140,$D$2:$D$403)</f>
        <v>0.00674437073349376</v>
      </c>
      <c r="F140" s="5">
        <f t="shared" si="4"/>
        <v>0.00623952654745493</v>
      </c>
      <c r="G140">
        <f t="shared" si="5"/>
        <v>0</v>
      </c>
    </row>
    <row r="141" spans="1:7">
      <c r="A141" t="s">
        <v>316</v>
      </c>
      <c r="B141">
        <v>19284</v>
      </c>
      <c r="C141" t="s">
        <v>131</v>
      </c>
      <c r="D141" s="5">
        <f>B141/SUM($B$2:$B$403)</f>
        <v>6.27148562713646e-5</v>
      </c>
      <c r="E141" s="7">
        <f>SUMIF($C$2:$C$403,C141,$D$2:$D$403)</f>
        <v>0.00665963217847371</v>
      </c>
      <c r="F141" s="5">
        <f t="shared" si="4"/>
        <v>0.00659691732220234</v>
      </c>
      <c r="G141">
        <f t="shared" si="5"/>
        <v>0</v>
      </c>
    </row>
    <row r="142" spans="1:7">
      <c r="A142" t="s">
        <v>146</v>
      </c>
      <c r="B142">
        <v>13552</v>
      </c>
      <c r="C142" t="s">
        <v>370</v>
      </c>
      <c r="D142" s="5">
        <f>B142/SUM($B$2:$B$403)</f>
        <v>4.40734148615191e-5</v>
      </c>
      <c r="E142" s="7">
        <f>SUMIF($C$2:$C$403,C142,$D$2:$D$403)</f>
        <v>0.00657789862901239</v>
      </c>
      <c r="F142" s="5">
        <f t="shared" si="4"/>
        <v>0.00653382521415088</v>
      </c>
      <c r="G142">
        <f t="shared" si="5"/>
        <v>0</v>
      </c>
    </row>
    <row r="143" spans="1:7">
      <c r="A143" t="s">
        <v>284</v>
      </c>
      <c r="B143">
        <v>339630</v>
      </c>
      <c r="C143" t="s">
        <v>488</v>
      </c>
      <c r="D143" s="5">
        <f>B143/SUM($B$2:$B$403)</f>
        <v>0.00110453467306801</v>
      </c>
      <c r="E143" s="7">
        <f>SUMIF($C$2:$C$403,C143,$D$2:$D$403)</f>
        <v>0.00650838348418765</v>
      </c>
      <c r="F143" s="5">
        <f t="shared" si="4"/>
        <v>0.00540384881111963</v>
      </c>
      <c r="G143">
        <f t="shared" si="5"/>
        <v>0</v>
      </c>
    </row>
    <row r="144" spans="1:7">
      <c r="A144" t="s">
        <v>73</v>
      </c>
      <c r="B144">
        <v>343947</v>
      </c>
      <c r="C144" t="s">
        <v>74</v>
      </c>
      <c r="D144" s="5">
        <f>B144/SUM($B$2:$B$403)</f>
        <v>0.00111857429319472</v>
      </c>
      <c r="E144" s="7">
        <f>SUMIF($C$2:$C$403,C144,$D$2:$D$403)</f>
        <v>0.00641064275143616</v>
      </c>
      <c r="F144" s="5">
        <f t="shared" si="4"/>
        <v>0.00529206845824144</v>
      </c>
      <c r="G144">
        <f t="shared" si="5"/>
        <v>0</v>
      </c>
    </row>
    <row r="145" spans="1:7">
      <c r="A145" t="s">
        <v>28</v>
      </c>
      <c r="B145">
        <v>3946</v>
      </c>
      <c r="C145" t="s">
        <v>626</v>
      </c>
      <c r="D145" s="5">
        <f>B145/SUM($B$2:$B$403)</f>
        <v>1.28330648644889e-5</v>
      </c>
      <c r="E145" s="7">
        <f>SUMIF($C$2:$C$403,C145,$D$2:$D$403)</f>
        <v>0.00638198787700104</v>
      </c>
      <c r="F145" s="5">
        <f t="shared" si="4"/>
        <v>0.00636915481213655</v>
      </c>
      <c r="G145">
        <f t="shared" si="5"/>
        <v>0</v>
      </c>
    </row>
    <row r="146" spans="1:7">
      <c r="A146" t="s">
        <v>99</v>
      </c>
      <c r="B146">
        <v>106131</v>
      </c>
      <c r="C146" t="s">
        <v>384</v>
      </c>
      <c r="D146" s="5">
        <f>B146/SUM($B$2:$B$403)</f>
        <v>0.000345156109258256</v>
      </c>
      <c r="E146" s="7">
        <f>SUMIF($C$2:$C$403,C146,$D$2:$D$403)</f>
        <v>0.00629289791782775</v>
      </c>
      <c r="F146" s="5">
        <f t="shared" si="4"/>
        <v>0.00594774180856949</v>
      </c>
      <c r="G146">
        <f t="shared" si="5"/>
        <v>0</v>
      </c>
    </row>
    <row r="147" spans="1:7">
      <c r="A147" t="s">
        <v>78</v>
      </c>
      <c r="B147">
        <v>84928</v>
      </c>
      <c r="C147" t="s">
        <v>666</v>
      </c>
      <c r="D147" s="5">
        <f>B147/SUM($B$2:$B$403)</f>
        <v>0.000276200337762625</v>
      </c>
      <c r="E147" s="7">
        <f>SUMIF($C$2:$C$403,C147,$D$2:$D$403)</f>
        <v>0.0061195182031659</v>
      </c>
      <c r="F147" s="5">
        <f t="shared" si="4"/>
        <v>0.00584331786540328</v>
      </c>
      <c r="G147">
        <f t="shared" si="5"/>
        <v>0</v>
      </c>
    </row>
    <row r="148" spans="1:7">
      <c r="A148" t="s">
        <v>54</v>
      </c>
      <c r="B148">
        <v>991994</v>
      </c>
      <c r="C148" t="s">
        <v>55</v>
      </c>
      <c r="D148" s="5">
        <f>B148/SUM($B$2:$B$403)</f>
        <v>0.00322613364094877</v>
      </c>
      <c r="E148" s="7">
        <f>SUMIF($C$2:$C$403,C148,$D$2:$D$403)</f>
        <v>0.00606947705540364</v>
      </c>
      <c r="F148" s="5">
        <f t="shared" si="4"/>
        <v>0.00284334341445487</v>
      </c>
      <c r="G148">
        <f t="shared" si="5"/>
        <v>0</v>
      </c>
    </row>
    <row r="149" spans="1:7">
      <c r="A149" t="s">
        <v>303</v>
      </c>
      <c r="B149">
        <v>107524</v>
      </c>
      <c r="C149" t="s">
        <v>358</v>
      </c>
      <c r="D149" s="5">
        <f>B149/SUM($B$2:$B$403)</f>
        <v>0.000349686382789992</v>
      </c>
      <c r="E149" s="7">
        <f>SUMIF($C$2:$C$403,C149,$D$2:$D$403)</f>
        <v>0.00527094561072627</v>
      </c>
      <c r="F149" s="5">
        <f t="shared" si="4"/>
        <v>0.00492125922793628</v>
      </c>
      <c r="G149">
        <f t="shared" si="5"/>
        <v>0</v>
      </c>
    </row>
    <row r="150" spans="1:7">
      <c r="A150" t="s">
        <v>199</v>
      </c>
      <c r="B150">
        <v>80659</v>
      </c>
      <c r="C150" t="s">
        <v>506</v>
      </c>
      <c r="D150" s="5">
        <f>B150/SUM($B$2:$B$403)</f>
        <v>0.000262316821820784</v>
      </c>
      <c r="E150" s="7">
        <f>SUMIF($C$2:$C$403,C150,$D$2:$D$403)</f>
        <v>0.00523548394339673</v>
      </c>
      <c r="F150" s="5">
        <f t="shared" si="4"/>
        <v>0.00497316712157594</v>
      </c>
      <c r="G150">
        <f t="shared" si="5"/>
        <v>0</v>
      </c>
    </row>
    <row r="151" spans="1:7">
      <c r="A151" t="s">
        <v>233</v>
      </c>
      <c r="B151">
        <v>213734</v>
      </c>
      <c r="C151" t="s">
        <v>492</v>
      </c>
      <c r="D151" s="5">
        <f>B151/SUM($B$2:$B$403)</f>
        <v>0.000695099413519179</v>
      </c>
      <c r="E151" s="7">
        <f>SUMIF($C$2:$C$403,C151,$D$2:$D$403)</f>
        <v>0.0049915418850033</v>
      </c>
      <c r="F151" s="5">
        <f t="shared" si="4"/>
        <v>0.00429644247148412</v>
      </c>
      <c r="G151">
        <f t="shared" si="5"/>
        <v>0</v>
      </c>
    </row>
    <row r="152" spans="1:7">
      <c r="A152" t="s">
        <v>97</v>
      </c>
      <c r="B152">
        <v>329952</v>
      </c>
      <c r="C152" t="s">
        <v>658</v>
      </c>
      <c r="D152" s="5">
        <f>B152/SUM($B$2:$B$403)</f>
        <v>0.00107306016679368</v>
      </c>
      <c r="E152" s="7">
        <f>SUMIF($C$2:$C$403,C152,$D$2:$D$403)</f>
        <v>0.00491707043230895</v>
      </c>
      <c r="F152" s="5">
        <f t="shared" si="4"/>
        <v>0.00384401026551527</v>
      </c>
      <c r="G152">
        <f t="shared" si="5"/>
        <v>0</v>
      </c>
    </row>
    <row r="153" spans="1:7">
      <c r="A153" t="s">
        <v>8</v>
      </c>
      <c r="B153">
        <v>115512</v>
      </c>
      <c r="C153" t="s">
        <v>91</v>
      </c>
      <c r="D153" s="5">
        <f>B153/SUM($B$2:$B$403)</f>
        <v>0.000375664720888709</v>
      </c>
      <c r="E153" s="7">
        <f>SUMIF($C$2:$C$403,C153,$D$2:$D$403)</f>
        <v>0.00488933266995993</v>
      </c>
      <c r="F153" s="5">
        <f t="shared" si="4"/>
        <v>0.00451366794907122</v>
      </c>
      <c r="G153">
        <f t="shared" si="5"/>
        <v>0</v>
      </c>
    </row>
    <row r="154" spans="1:7">
      <c r="A154" t="s">
        <v>80</v>
      </c>
      <c r="B154">
        <v>125548</v>
      </c>
      <c r="C154" t="s">
        <v>87</v>
      </c>
      <c r="D154" s="5">
        <f>B154/SUM($B$2:$B$403)</f>
        <v>0.00040830350420853</v>
      </c>
      <c r="E154" s="7">
        <f>SUMIF($C$2:$C$403,C154,$D$2:$D$403)</f>
        <v>0.00488440563162498</v>
      </c>
      <c r="F154" s="5">
        <f t="shared" si="4"/>
        <v>0.00447610212741645</v>
      </c>
      <c r="G154">
        <f t="shared" si="5"/>
        <v>0</v>
      </c>
    </row>
    <row r="155" spans="1:7">
      <c r="A155" t="s">
        <v>196</v>
      </c>
      <c r="B155">
        <v>50489</v>
      </c>
      <c r="C155" t="s">
        <v>448</v>
      </c>
      <c r="D155" s="5">
        <f>B155/SUM($B$2:$B$403)</f>
        <v>0.0001641988372892</v>
      </c>
      <c r="E155" s="7">
        <f>SUMIF($C$2:$C$403,C155,$D$2:$D$403)</f>
        <v>0.00481928742134073</v>
      </c>
      <c r="F155" s="5">
        <f t="shared" si="4"/>
        <v>0.00465508858405153</v>
      </c>
      <c r="G155">
        <f t="shared" si="5"/>
        <v>0</v>
      </c>
    </row>
    <row r="156" spans="1:7">
      <c r="A156" t="s">
        <v>291</v>
      </c>
      <c r="B156">
        <v>152749</v>
      </c>
      <c r="C156" t="s">
        <v>474</v>
      </c>
      <c r="D156" s="5">
        <f>B156/SUM($B$2:$B$403)</f>
        <v>0.000496765794471825</v>
      </c>
      <c r="E156" s="7">
        <f>SUMIF($C$2:$C$403,C156,$D$2:$D$403)</f>
        <v>0.0047490405381494</v>
      </c>
      <c r="F156" s="5">
        <f t="shared" si="4"/>
        <v>0.00425227474367758</v>
      </c>
      <c r="G156">
        <f t="shared" si="5"/>
        <v>0</v>
      </c>
    </row>
    <row r="157" spans="1:7">
      <c r="A157" t="s">
        <v>323</v>
      </c>
      <c r="B157">
        <v>688426</v>
      </c>
      <c r="C157" t="s">
        <v>77</v>
      </c>
      <c r="D157" s="5">
        <f>B157/SUM($B$2:$B$403)</f>
        <v>0.00223887874110509</v>
      </c>
      <c r="E157" s="7">
        <f>SUMIF($C$2:$C$403,C157,$D$2:$D$403)</f>
        <v>0.004692602370978</v>
      </c>
      <c r="F157" s="5">
        <f t="shared" si="4"/>
        <v>0.00245372362987292</v>
      </c>
      <c r="G157">
        <f t="shared" si="5"/>
        <v>0</v>
      </c>
    </row>
    <row r="158" spans="1:7">
      <c r="A158" t="s">
        <v>343</v>
      </c>
      <c r="B158">
        <v>6219</v>
      </c>
      <c r="C158" t="s">
        <v>65</v>
      </c>
      <c r="D158" s="5">
        <f>B158/SUM($B$2:$B$403)</f>
        <v>2.02252484521685e-5</v>
      </c>
      <c r="E158" s="7">
        <f>SUMIF($C$2:$C$403,C158,$D$2:$D$403)</f>
        <v>0.00440916270164205</v>
      </c>
      <c r="F158" s="5">
        <f t="shared" si="4"/>
        <v>0.00438893745318988</v>
      </c>
      <c r="G158">
        <f t="shared" si="5"/>
        <v>0</v>
      </c>
    </row>
    <row r="159" spans="1:7">
      <c r="A159" t="s">
        <v>30</v>
      </c>
      <c r="B159">
        <v>490805</v>
      </c>
      <c r="C159" t="s">
        <v>100</v>
      </c>
      <c r="D159" s="5">
        <f>B159/SUM($B$2:$B$403)</f>
        <v>0.00159618155114432</v>
      </c>
      <c r="E159" s="7">
        <f>SUMIF($C$2:$C$403,C159,$D$2:$D$403)</f>
        <v>0.00407621849267932</v>
      </c>
      <c r="F159" s="5">
        <f t="shared" si="4"/>
        <v>0.002480036941535</v>
      </c>
      <c r="G159">
        <f t="shared" si="5"/>
        <v>0</v>
      </c>
    </row>
    <row r="160" spans="1:7">
      <c r="A160" t="s">
        <v>167</v>
      </c>
      <c r="B160">
        <v>615505</v>
      </c>
      <c r="C160" t="s">
        <v>47</v>
      </c>
      <c r="D160" s="5">
        <f>B160/SUM($B$2:$B$403)</f>
        <v>0.00200172721475349</v>
      </c>
      <c r="E160" s="7">
        <f>SUMIF($C$2:$C$403,C160,$D$2:$D$403)</f>
        <v>0.00398944733108545</v>
      </c>
      <c r="F160" s="5">
        <f t="shared" si="4"/>
        <v>0.00198772011633196</v>
      </c>
      <c r="G160">
        <f t="shared" si="5"/>
        <v>0</v>
      </c>
    </row>
    <row r="161" spans="1:7">
      <c r="A161" t="s">
        <v>198</v>
      </c>
      <c r="B161">
        <v>781762</v>
      </c>
      <c r="C161" t="s">
        <v>496</v>
      </c>
      <c r="D161" s="5">
        <f>B161/SUM($B$2:$B$403)</f>
        <v>0.00254242332858404</v>
      </c>
      <c r="E161" s="7">
        <f>SUMIF($C$2:$C$403,C161,$D$2:$D$403)</f>
        <v>0.00394823582627987</v>
      </c>
      <c r="F161" s="5">
        <f t="shared" si="4"/>
        <v>0.00140581249769584</v>
      </c>
      <c r="G161">
        <f t="shared" si="5"/>
        <v>0</v>
      </c>
    </row>
    <row r="162" spans="1:7">
      <c r="A162" t="s">
        <v>153</v>
      </c>
      <c r="B162">
        <v>63905</v>
      </c>
      <c r="C162" t="s">
        <v>498</v>
      </c>
      <c r="D162" s="5">
        <f>B162/SUM($B$2:$B$403)</f>
        <v>0.000207829956960255</v>
      </c>
      <c r="E162" s="7">
        <f>SUMIF($C$2:$C$403,C162,$D$2:$D$403)</f>
        <v>0.00358857503651082</v>
      </c>
      <c r="F162" s="5">
        <f t="shared" si="4"/>
        <v>0.00338074507955056</v>
      </c>
      <c r="G162">
        <f t="shared" si="5"/>
        <v>0</v>
      </c>
    </row>
    <row r="163" spans="1:7">
      <c r="A163" t="s">
        <v>255</v>
      </c>
      <c r="B163">
        <v>4855</v>
      </c>
      <c r="C163" t="s">
        <v>678</v>
      </c>
      <c r="D163" s="5">
        <f>B163/SUM($B$2:$B$403)</f>
        <v>1.57892878654571e-5</v>
      </c>
      <c r="E163" s="7">
        <f>SUMIF($C$2:$C$403,C163,$D$2:$D$403)</f>
        <v>0.00345333352551493</v>
      </c>
      <c r="F163" s="5">
        <f t="shared" si="4"/>
        <v>0.00343754423764947</v>
      </c>
      <c r="G163">
        <f t="shared" si="5"/>
        <v>0</v>
      </c>
    </row>
    <row r="164" spans="1:7">
      <c r="A164" t="s">
        <v>70</v>
      </c>
      <c r="B164">
        <v>8788</v>
      </c>
      <c r="C164" t="s">
        <v>356</v>
      </c>
      <c r="D164" s="5">
        <f>B164/SUM($B$2:$B$403)</f>
        <v>2.85800745132106e-5</v>
      </c>
      <c r="E164" s="7">
        <f>SUMIF($C$2:$C$403,C164,$D$2:$D$403)</f>
        <v>0.00344234118916369</v>
      </c>
      <c r="F164" s="5">
        <f t="shared" si="4"/>
        <v>0.00341376111465048</v>
      </c>
      <c r="G164">
        <f t="shared" si="5"/>
        <v>0</v>
      </c>
    </row>
    <row r="165" spans="1:7">
      <c r="A165" t="s">
        <v>165</v>
      </c>
      <c r="B165">
        <v>4777</v>
      </c>
      <c r="C165" t="s">
        <v>662</v>
      </c>
      <c r="D165" s="5">
        <f>B165/SUM($B$2:$B$403)</f>
        <v>1.5535618565044e-5</v>
      </c>
      <c r="E165" s="7">
        <f>SUMIF($C$2:$C$403,C165,$D$2:$D$403)</f>
        <v>0.00334762497499406</v>
      </c>
      <c r="F165" s="5">
        <f t="shared" si="4"/>
        <v>0.00333208935642902</v>
      </c>
      <c r="G165">
        <f t="shared" si="5"/>
        <v>0</v>
      </c>
    </row>
    <row r="166" spans="1:7">
      <c r="A166" t="s">
        <v>215</v>
      </c>
      <c r="B166">
        <v>282172</v>
      </c>
      <c r="C166" t="s">
        <v>700</v>
      </c>
      <c r="D166" s="5">
        <f>B166/SUM($B$2:$B$403)</f>
        <v>0.000917671459438058</v>
      </c>
      <c r="E166" s="7">
        <f>SUMIF($C$2:$C$403,C166,$D$2:$D$403)</f>
        <v>0.00328378161555291</v>
      </c>
      <c r="F166" s="5">
        <f t="shared" si="4"/>
        <v>0.00236611015611485</v>
      </c>
      <c r="G166">
        <f t="shared" si="5"/>
        <v>0</v>
      </c>
    </row>
    <row r="167" spans="1:7">
      <c r="A167" t="s">
        <v>115</v>
      </c>
      <c r="B167">
        <v>45467</v>
      </c>
      <c r="C167" t="s">
        <v>436</v>
      </c>
      <c r="D167" s="5">
        <f>B167/SUM($B$2:$B$403)</f>
        <v>0.000147866436947217</v>
      </c>
      <c r="E167" s="7">
        <f>SUMIF($C$2:$C$403,C167,$D$2:$D$403)</f>
        <v>0.00327905295961957</v>
      </c>
      <c r="F167" s="5">
        <f t="shared" si="4"/>
        <v>0.00313118652267235</v>
      </c>
      <c r="G167">
        <f t="shared" si="5"/>
        <v>0</v>
      </c>
    </row>
    <row r="168" spans="1:7">
      <c r="A168" t="s">
        <v>106</v>
      </c>
      <c r="B168">
        <v>102712</v>
      </c>
      <c r="C168" t="s">
        <v>83</v>
      </c>
      <c r="D168" s="5">
        <f>B168/SUM($B$2:$B$403)</f>
        <v>0.000334036938256814</v>
      </c>
      <c r="E168" s="7">
        <f>SUMIF($C$2:$C$403,C168,$D$2:$D$403)</f>
        <v>0.00327642195367041</v>
      </c>
      <c r="F168" s="5">
        <f t="shared" si="4"/>
        <v>0.0029423850154136</v>
      </c>
      <c r="G168">
        <f t="shared" si="5"/>
        <v>0</v>
      </c>
    </row>
    <row r="169" spans="1:7">
      <c r="A169" t="s">
        <v>262</v>
      </c>
      <c r="B169">
        <v>102022</v>
      </c>
      <c r="C169" t="s">
        <v>135</v>
      </c>
      <c r="D169" s="5">
        <f>B169/SUM($B$2:$B$403)</f>
        <v>0.000331792940599314</v>
      </c>
      <c r="E169" s="7">
        <f>SUMIF($C$2:$C$403,C169,$D$2:$D$403)</f>
        <v>0.00321179482113439</v>
      </c>
      <c r="F169" s="5">
        <f t="shared" si="4"/>
        <v>0.00288000188053508</v>
      </c>
      <c r="G169">
        <f t="shared" si="5"/>
        <v>0</v>
      </c>
    </row>
    <row r="170" spans="1:7">
      <c r="A170" t="s">
        <v>102</v>
      </c>
      <c r="B170">
        <v>82297</v>
      </c>
      <c r="C170" t="s">
        <v>14</v>
      </c>
      <c r="D170" s="5">
        <f>B170/SUM($B$2:$B$403)</f>
        <v>0.000267643877129459</v>
      </c>
      <c r="E170" s="7">
        <f>SUMIF($C$2:$C$403,C170,$D$2:$D$403)</f>
        <v>0.00316759782379319</v>
      </c>
      <c r="F170" s="5">
        <f t="shared" si="4"/>
        <v>0.00289995394666373</v>
      </c>
      <c r="G170">
        <f t="shared" si="5"/>
        <v>0</v>
      </c>
    </row>
    <row r="171" spans="1:7">
      <c r="A171" t="s">
        <v>50</v>
      </c>
      <c r="B171">
        <v>331501</v>
      </c>
      <c r="C171" t="s">
        <v>378</v>
      </c>
      <c r="D171" s="5">
        <f>B171/SUM($B$2:$B$403)</f>
        <v>0.00107809777892624</v>
      </c>
      <c r="E171" s="7">
        <f>SUMIF($C$2:$C$403,C171,$D$2:$D$403)</f>
        <v>0.0031412292252323</v>
      </c>
      <c r="F171" s="5">
        <f t="shared" si="4"/>
        <v>0.00206313144630605</v>
      </c>
      <c r="G171">
        <f t="shared" si="5"/>
        <v>0</v>
      </c>
    </row>
    <row r="172" spans="1:7">
      <c r="A172" t="s">
        <v>144</v>
      </c>
      <c r="B172">
        <v>420032</v>
      </c>
      <c r="C172" t="s">
        <v>508</v>
      </c>
      <c r="D172" s="5">
        <f>B172/SUM($B$2:$B$403)</f>
        <v>0.00136601568706564</v>
      </c>
      <c r="E172" s="7">
        <f>SUMIF($C$2:$C$403,C172,$D$2:$D$403)</f>
        <v>0.00312545294604891</v>
      </c>
      <c r="F172" s="5">
        <f t="shared" si="4"/>
        <v>0.00175943725898327</v>
      </c>
      <c r="G172">
        <f t="shared" si="5"/>
        <v>0</v>
      </c>
    </row>
    <row r="173" spans="1:7">
      <c r="A173" t="s">
        <v>104</v>
      </c>
      <c r="B173">
        <v>99476</v>
      </c>
      <c r="C173" t="s">
        <v>126</v>
      </c>
      <c r="D173" s="5">
        <f>B173/SUM($B$2:$B$403)</f>
        <v>0.000323512914460188</v>
      </c>
      <c r="E173" s="7">
        <f>SUMIF($C$2:$C$403,C173,$D$2:$D$403)</f>
        <v>0.00312475698155803</v>
      </c>
      <c r="F173" s="5">
        <f t="shared" si="4"/>
        <v>0.00280124406709785</v>
      </c>
      <c r="G173">
        <f t="shared" si="5"/>
        <v>0</v>
      </c>
    </row>
    <row r="174" spans="1:7">
      <c r="A174" t="s">
        <v>240</v>
      </c>
      <c r="B174">
        <v>226948</v>
      </c>
      <c r="C174" t="s">
        <v>676</v>
      </c>
      <c r="D174" s="5">
        <f>B174/SUM($B$2:$B$403)</f>
        <v>0.000738073594745575</v>
      </c>
      <c r="E174" s="7">
        <f>SUMIF($C$2:$C$403,C174,$D$2:$D$403)</f>
        <v>0.00308034208879211</v>
      </c>
      <c r="F174" s="5">
        <f t="shared" si="4"/>
        <v>0.00234226849404654</v>
      </c>
      <c r="G174">
        <f t="shared" si="5"/>
        <v>0</v>
      </c>
    </row>
    <row r="175" spans="1:7">
      <c r="A175" t="s">
        <v>41</v>
      </c>
      <c r="B175">
        <v>1294</v>
      </c>
      <c r="C175" t="s">
        <v>209</v>
      </c>
      <c r="D175" s="5">
        <f>B175/SUM($B$2:$B$403)</f>
        <v>4.20830865044316e-6</v>
      </c>
      <c r="E175" s="7">
        <f>SUMIF($C$2:$C$403,C175,$D$2:$D$403)</f>
        <v>0.00306445198364059</v>
      </c>
      <c r="F175" s="5">
        <f t="shared" si="4"/>
        <v>0.00306024367499015</v>
      </c>
      <c r="G175">
        <f t="shared" si="5"/>
        <v>0</v>
      </c>
    </row>
    <row r="176" spans="1:7">
      <c r="A176" t="s">
        <v>243</v>
      </c>
      <c r="B176">
        <v>106173</v>
      </c>
      <c r="C176" t="s">
        <v>151</v>
      </c>
      <c r="D176" s="5">
        <f>B176/SUM($B$2:$B$403)</f>
        <v>0.000345292700420017</v>
      </c>
      <c r="E176" s="7">
        <f>SUMIF($C$2:$C$403,C176,$D$2:$D$403)</f>
        <v>0.00303724107291551</v>
      </c>
      <c r="F176" s="5">
        <f t="shared" si="4"/>
        <v>0.00269194837249549</v>
      </c>
      <c r="G176">
        <f t="shared" si="5"/>
        <v>0</v>
      </c>
    </row>
    <row r="177" spans="1:7">
      <c r="A177" t="s">
        <v>311</v>
      </c>
      <c r="B177">
        <v>20341</v>
      </c>
      <c r="C177" t="s">
        <v>668</v>
      </c>
      <c r="D177" s="5">
        <f>B177/SUM($B$2:$B$403)</f>
        <v>6.61524005090141e-5</v>
      </c>
      <c r="E177" s="7">
        <f>SUMIF($C$2:$C$403,C177,$D$2:$D$403)</f>
        <v>0.00303597272641345</v>
      </c>
      <c r="F177" s="5">
        <f t="shared" si="4"/>
        <v>0.00296982032590443</v>
      </c>
      <c r="G177">
        <f t="shared" si="5"/>
        <v>0</v>
      </c>
    </row>
    <row r="178" spans="1:7">
      <c r="A178" t="s">
        <v>94</v>
      </c>
      <c r="B178">
        <v>77632</v>
      </c>
      <c r="C178" t="s">
        <v>684</v>
      </c>
      <c r="D178" s="5">
        <f>B178/SUM($B$2:$B$403)</f>
        <v>0.000252472501662445</v>
      </c>
      <c r="E178" s="7">
        <f>SUMIF($C$2:$C$403,C178,$D$2:$D$403)</f>
        <v>0.00269244595458477</v>
      </c>
      <c r="F178" s="5">
        <f t="shared" si="4"/>
        <v>0.00243997345292232</v>
      </c>
      <c r="G178">
        <f t="shared" si="5"/>
        <v>0</v>
      </c>
    </row>
    <row r="179" spans="1:7">
      <c r="A179" t="s">
        <v>48</v>
      </c>
      <c r="B179">
        <v>29007</v>
      </c>
      <c r="C179" t="s">
        <v>79</v>
      </c>
      <c r="D179" s="5">
        <f>B179/SUM($B$2:$B$403)</f>
        <v>9.43357102190144e-5</v>
      </c>
      <c r="E179" s="7">
        <f>SUMIF($C$2:$C$403,C179,$D$2:$D$403)</f>
        <v>0.0026725264101613</v>
      </c>
      <c r="F179" s="5">
        <f t="shared" si="4"/>
        <v>0.00257819069994229</v>
      </c>
      <c r="G179">
        <f t="shared" si="5"/>
        <v>0</v>
      </c>
    </row>
    <row r="180" spans="1:7">
      <c r="A180" t="s">
        <v>211</v>
      </c>
      <c r="B180">
        <v>267752</v>
      </c>
      <c r="C180" t="s">
        <v>133</v>
      </c>
      <c r="D180" s="5">
        <f>B180/SUM($B$2:$B$403)</f>
        <v>0.000870775160566813</v>
      </c>
      <c r="E180" s="7">
        <f>SUMIF($C$2:$C$403,C180,$D$2:$D$403)</f>
        <v>0.00260840661622611</v>
      </c>
      <c r="F180" s="5">
        <f t="shared" si="4"/>
        <v>0.0017376314556593</v>
      </c>
      <c r="G180">
        <f t="shared" si="5"/>
        <v>0</v>
      </c>
    </row>
    <row r="181" spans="1:7">
      <c r="A181" t="s">
        <v>363</v>
      </c>
      <c r="B181">
        <v>154298</v>
      </c>
      <c r="C181" t="s">
        <v>26</v>
      </c>
      <c r="D181" s="5">
        <f>B181/SUM($B$2:$B$403)</f>
        <v>0.000501803406604388</v>
      </c>
      <c r="E181" s="7">
        <f>SUMIF($C$2:$C$403,C181,$D$2:$D$403)</f>
        <v>0.00259576542942219</v>
      </c>
      <c r="F181" s="5">
        <f t="shared" si="4"/>
        <v>0.0020939620228178</v>
      </c>
      <c r="G181">
        <f t="shared" si="5"/>
        <v>0</v>
      </c>
    </row>
    <row r="182" spans="1:7">
      <c r="A182" t="s">
        <v>377</v>
      </c>
      <c r="B182">
        <v>75013</v>
      </c>
      <c r="C182" t="s">
        <v>156</v>
      </c>
      <c r="D182" s="5">
        <f>B182/SUM($B$2:$B$403)</f>
        <v>0.000243955067075497</v>
      </c>
      <c r="E182" s="7">
        <f>SUMIF($C$2:$C$403,C182,$D$2:$D$403)</f>
        <v>0.00256881469233855</v>
      </c>
      <c r="F182" s="5">
        <f t="shared" si="4"/>
        <v>0.00232485962526306</v>
      </c>
      <c r="G182">
        <f t="shared" si="5"/>
        <v>0</v>
      </c>
    </row>
    <row r="183" spans="1:7">
      <c r="A183" t="s">
        <v>248</v>
      </c>
      <c r="B183">
        <v>173440</v>
      </c>
      <c r="C183" t="s">
        <v>598</v>
      </c>
      <c r="D183" s="5">
        <f>B183/SUM($B$2:$B$403)</f>
        <v>0.00056405645466218</v>
      </c>
      <c r="E183" s="7">
        <f>SUMIF($C$2:$C$403,C183,$D$2:$D$403)</f>
        <v>0.0025431160409044</v>
      </c>
      <c r="F183" s="5">
        <f t="shared" si="4"/>
        <v>0.00197905958624222</v>
      </c>
      <c r="G183">
        <f t="shared" si="5"/>
        <v>0</v>
      </c>
    </row>
    <row r="184" spans="1:7">
      <c r="A184" t="s">
        <v>230</v>
      </c>
      <c r="B184">
        <v>528078</v>
      </c>
      <c r="C184" t="s">
        <v>149</v>
      </c>
      <c r="D184" s="5">
        <f>B184/SUM($B$2:$B$403)</f>
        <v>0.00171739970286609</v>
      </c>
      <c r="E184" s="7">
        <f>SUMIF($C$2:$C$403,C184,$D$2:$D$403)</f>
        <v>0.00249054795664956</v>
      </c>
      <c r="F184" s="5">
        <f t="shared" si="4"/>
        <v>0.000773148253783465</v>
      </c>
      <c r="G184">
        <f t="shared" si="5"/>
        <v>0</v>
      </c>
    </row>
    <row r="185" spans="1:7">
      <c r="A185" t="s">
        <v>213</v>
      </c>
      <c r="B185">
        <v>70329</v>
      </c>
      <c r="C185" t="s">
        <v>114</v>
      </c>
      <c r="D185" s="5">
        <f>B185/SUM($B$2:$B$403)</f>
        <v>0.000228721900368637</v>
      </c>
      <c r="E185" s="7">
        <f>SUMIF($C$2:$C$403,C185,$D$2:$D$403)</f>
        <v>0.00248804703752112</v>
      </c>
      <c r="F185" s="5">
        <f t="shared" si="4"/>
        <v>0.00225932513715249</v>
      </c>
      <c r="G185">
        <f t="shared" si="5"/>
        <v>0</v>
      </c>
    </row>
    <row r="186" spans="1:7">
      <c r="A186" t="s">
        <v>124</v>
      </c>
      <c r="B186">
        <v>123062</v>
      </c>
      <c r="C186" t="s">
        <v>660</v>
      </c>
      <c r="D186" s="5">
        <f>B186/SUM($B$2:$B$403)</f>
        <v>0.000400218608300491</v>
      </c>
      <c r="E186" s="7">
        <f>SUMIF($C$2:$C$403,C186,$D$2:$D$403)</f>
        <v>0.0024685112492188</v>
      </c>
      <c r="F186" s="5">
        <f t="shared" si="4"/>
        <v>0.0020682926409183</v>
      </c>
      <c r="G186">
        <f t="shared" si="5"/>
        <v>0</v>
      </c>
    </row>
    <row r="187" spans="1:7">
      <c r="A187" t="s">
        <v>193</v>
      </c>
      <c r="B187">
        <v>421625</v>
      </c>
      <c r="C187" t="s">
        <v>175</v>
      </c>
      <c r="D187" s="5">
        <f>B187/SUM($B$2:$B$403)</f>
        <v>0.001371196394701</v>
      </c>
      <c r="E187" s="7">
        <f>SUMIF($C$2:$C$403,C187,$D$2:$D$403)</f>
        <v>0.00245948647603102</v>
      </c>
      <c r="F187" s="5">
        <f t="shared" si="4"/>
        <v>0.00108829008133002</v>
      </c>
      <c r="G187">
        <f t="shared" si="5"/>
        <v>0</v>
      </c>
    </row>
    <row r="188" spans="1:7">
      <c r="A188" t="s">
        <v>60</v>
      </c>
      <c r="B188">
        <v>13940</v>
      </c>
      <c r="C188" t="s">
        <v>424</v>
      </c>
      <c r="D188" s="5">
        <f>B188/SUM($B$2:$B$403)</f>
        <v>4.53352570225484e-5</v>
      </c>
      <c r="E188" s="7">
        <f>SUMIF($C$2:$C$403,C188,$D$2:$D$403)</f>
        <v>0.00244365165777831</v>
      </c>
      <c r="F188" s="5">
        <f t="shared" si="4"/>
        <v>0.00239831640075576</v>
      </c>
      <c r="G188">
        <f t="shared" si="5"/>
        <v>0</v>
      </c>
    </row>
    <row r="189" spans="1:7">
      <c r="A189" t="s">
        <v>170</v>
      </c>
      <c r="B189">
        <v>35532</v>
      </c>
      <c r="C189" t="s">
        <v>179</v>
      </c>
      <c r="D189" s="5">
        <f>B189/SUM($B$2:$B$403)</f>
        <v>0.000115556122849727</v>
      </c>
      <c r="E189" s="7">
        <f>SUMIF($C$2:$C$403,C189,$D$2:$D$403)</f>
        <v>0.00244249063290334</v>
      </c>
      <c r="F189" s="5">
        <f t="shared" si="4"/>
        <v>0.00232693451005362</v>
      </c>
      <c r="G189">
        <f t="shared" si="5"/>
        <v>0</v>
      </c>
    </row>
    <row r="190" spans="1:7">
      <c r="A190" t="s">
        <v>217</v>
      </c>
      <c r="B190">
        <v>224369</v>
      </c>
      <c r="C190" t="s">
        <v>380</v>
      </c>
      <c r="D190" s="5">
        <f>B190/SUM($B$2:$B$403)</f>
        <v>0.000729686246979351</v>
      </c>
      <c r="E190" s="7">
        <f>SUMIF($C$2:$C$403,C190,$D$2:$D$403)</f>
        <v>0.00236925825717639</v>
      </c>
      <c r="F190" s="5">
        <f t="shared" si="4"/>
        <v>0.00163957201019704</v>
      </c>
      <c r="G190">
        <f t="shared" si="5"/>
        <v>0</v>
      </c>
    </row>
    <row r="191" spans="1:7">
      <c r="A191" t="s">
        <v>201</v>
      </c>
      <c r="B191">
        <v>406465</v>
      </c>
      <c r="C191" t="s">
        <v>522</v>
      </c>
      <c r="D191" s="5">
        <f>B191/SUM($B$2:$B$403)</f>
        <v>0.00132189348964635</v>
      </c>
      <c r="E191" s="7">
        <f>SUMIF($C$2:$C$403,C191,$D$2:$D$403)</f>
        <v>0.00235748214773029</v>
      </c>
      <c r="F191" s="5">
        <f t="shared" si="4"/>
        <v>0.00103558865808394</v>
      </c>
      <c r="G191">
        <f t="shared" si="5"/>
        <v>0</v>
      </c>
    </row>
    <row r="192" spans="1:7">
      <c r="A192" t="s">
        <v>208</v>
      </c>
      <c r="B192">
        <v>15099</v>
      </c>
      <c r="C192" t="s">
        <v>692</v>
      </c>
      <c r="D192" s="5">
        <f>B192/SUM($B$2:$B$403)</f>
        <v>4.91045226530458e-5</v>
      </c>
      <c r="E192" s="7">
        <f>SUMIF($C$2:$C$403,C192,$D$2:$D$403)</f>
        <v>0.00235476983751818</v>
      </c>
      <c r="F192" s="5">
        <f t="shared" si="4"/>
        <v>0.00230566531486513</v>
      </c>
      <c r="G192">
        <f t="shared" si="5"/>
        <v>0</v>
      </c>
    </row>
    <row r="193" spans="1:7">
      <c r="A193" t="s">
        <v>203</v>
      </c>
      <c r="B193">
        <v>95210</v>
      </c>
      <c r="C193" t="s">
        <v>512</v>
      </c>
      <c r="D193" s="5">
        <f>B193/SUM($B$2:$B$403)</f>
        <v>0.000309639155029902</v>
      </c>
      <c r="E193" s="7">
        <f>SUMIF($C$2:$C$403,C193,$D$2:$D$403)</f>
        <v>0.00222294960990735</v>
      </c>
      <c r="F193" s="5">
        <f t="shared" si="4"/>
        <v>0.00191331045487745</v>
      </c>
      <c r="G193">
        <f t="shared" si="5"/>
        <v>0</v>
      </c>
    </row>
    <row r="194" spans="1:7">
      <c r="A194" t="s">
        <v>188</v>
      </c>
      <c r="B194">
        <v>392458</v>
      </c>
      <c r="C194" t="s">
        <v>57</v>
      </c>
      <c r="D194" s="5">
        <f>B194/SUM($B$2:$B$403)</f>
        <v>0.00127634033719909</v>
      </c>
      <c r="E194" s="7">
        <f>SUMIF($C$2:$C$403,C194,$D$2:$D$403)</f>
        <v>0.00220847094676069</v>
      </c>
      <c r="F194" s="5">
        <f t="shared" ref="F194:F257" si="6">E194-D194</f>
        <v>0.000932130609561605</v>
      </c>
      <c r="G194">
        <f t="shared" ref="G194:G257" si="7">COUNTIF(C194:C594,C194)-1</f>
        <v>0</v>
      </c>
    </row>
    <row r="195" spans="1:7">
      <c r="A195" t="s">
        <v>160</v>
      </c>
      <c r="B195">
        <v>117150</v>
      </c>
      <c r="C195" t="s">
        <v>484</v>
      </c>
      <c r="D195" s="5">
        <f>B195/SUM($B$2:$B$403)</f>
        <v>0.000380991776197385</v>
      </c>
      <c r="E195" s="7">
        <f>SUMIF($C$2:$C$403,C195,$D$2:$D$403)</f>
        <v>0.00219857133970355</v>
      </c>
      <c r="F195" s="5">
        <f t="shared" si="6"/>
        <v>0.00181757956350616</v>
      </c>
      <c r="G195">
        <f t="shared" si="7"/>
        <v>0</v>
      </c>
    </row>
    <row r="196" spans="1:7">
      <c r="A196" t="s">
        <v>298</v>
      </c>
      <c r="B196">
        <v>87069</v>
      </c>
      <c r="C196" t="s">
        <v>42</v>
      </c>
      <c r="D196" s="5">
        <f>B196/SUM($B$2:$B$403)</f>
        <v>0.000283163234841913</v>
      </c>
      <c r="E196" s="7">
        <f>SUMIF($C$2:$C$403,C196,$D$2:$D$403)</f>
        <v>0.00200086864173671</v>
      </c>
      <c r="F196" s="5">
        <f t="shared" si="6"/>
        <v>0.00171770540689479</v>
      </c>
      <c r="G196">
        <f t="shared" si="7"/>
        <v>0</v>
      </c>
    </row>
    <row r="197" spans="1:7">
      <c r="A197" t="s">
        <v>252</v>
      </c>
      <c r="B197">
        <v>138266</v>
      </c>
      <c r="C197" t="s">
        <v>251</v>
      </c>
      <c r="D197" s="5">
        <f>B197/SUM($B$2:$B$403)</f>
        <v>0.000449664608857939</v>
      </c>
      <c r="E197" s="7">
        <f>SUMIF($C$2:$C$403,C197,$D$2:$D$403)</f>
        <v>0.00191894971855586</v>
      </c>
      <c r="F197" s="5">
        <f t="shared" si="6"/>
        <v>0.00146928510969792</v>
      </c>
      <c r="G197">
        <f t="shared" si="7"/>
        <v>0</v>
      </c>
    </row>
    <row r="198" spans="1:7">
      <c r="A198" t="s">
        <v>21</v>
      </c>
      <c r="B198">
        <v>141726</v>
      </c>
      <c r="C198" t="s">
        <v>212</v>
      </c>
      <c r="D198" s="5">
        <f>B198/SUM($B$2:$B$403)</f>
        <v>0.000460917118850624</v>
      </c>
      <c r="E198" s="7">
        <f>SUMIF($C$2:$C$403,C198,$D$2:$D$403)</f>
        <v>0.00181043454487786</v>
      </c>
      <c r="F198" s="5">
        <f t="shared" si="6"/>
        <v>0.00134951742602723</v>
      </c>
      <c r="G198">
        <f t="shared" si="7"/>
        <v>0</v>
      </c>
    </row>
    <row r="199" spans="1:7">
      <c r="A199" t="s">
        <v>136</v>
      </c>
      <c r="B199">
        <v>167764</v>
      </c>
      <c r="C199" t="s">
        <v>672</v>
      </c>
      <c r="D199" s="5">
        <f>B199/SUM($B$2:$B$403)</f>
        <v>0.000545597134801349</v>
      </c>
      <c r="E199" s="7">
        <f>SUMIF($C$2:$C$403,C199,$D$2:$D$403)</f>
        <v>0.00165670769665699</v>
      </c>
      <c r="F199" s="5">
        <f t="shared" si="6"/>
        <v>0.00111111056185565</v>
      </c>
      <c r="G199">
        <f t="shared" si="7"/>
        <v>0</v>
      </c>
    </row>
    <row r="200" spans="1:7">
      <c r="A200" t="s">
        <v>307</v>
      </c>
      <c r="B200">
        <v>281042</v>
      </c>
      <c r="C200" t="s">
        <v>85</v>
      </c>
      <c r="D200" s="5">
        <f>B200/SUM($B$2:$B$403)</f>
        <v>0.000913996506752586</v>
      </c>
      <c r="E200" s="7">
        <f>SUMIF($C$2:$C$403,C200,$D$2:$D$403)</f>
        <v>0.00164443725729214</v>
      </c>
      <c r="F200" s="5">
        <f t="shared" si="6"/>
        <v>0.000730440750539555</v>
      </c>
      <c r="G200">
        <f t="shared" si="7"/>
        <v>0</v>
      </c>
    </row>
    <row r="201" spans="1:7">
      <c r="A201" t="s">
        <v>220</v>
      </c>
      <c r="B201">
        <v>246163</v>
      </c>
      <c r="C201" t="s">
        <v>680</v>
      </c>
      <c r="D201" s="5">
        <f>B201/SUM($B$2:$B$403)</f>
        <v>0.000800564051251189</v>
      </c>
      <c r="E201" s="7">
        <f>SUMIF($C$2:$C$403,C201,$D$2:$D$403)</f>
        <v>0.0015979539840767</v>
      </c>
      <c r="F201" s="5">
        <f t="shared" si="6"/>
        <v>0.000797389932825507</v>
      </c>
      <c r="G201">
        <f t="shared" si="7"/>
        <v>0</v>
      </c>
    </row>
    <row r="202" spans="1:7">
      <c r="A202" t="s">
        <v>142</v>
      </c>
      <c r="B202">
        <v>235435</v>
      </c>
      <c r="C202" t="s">
        <v>109</v>
      </c>
      <c r="D202" s="5">
        <f>B202/SUM($B$2:$B$403)</f>
        <v>0.000765674765932832</v>
      </c>
      <c r="E202" s="7">
        <f>SUMIF($C$2:$C$403,C202,$D$2:$D$403)</f>
        <v>0.00154753558453433</v>
      </c>
      <c r="F202" s="5">
        <f t="shared" si="6"/>
        <v>0.000781860818601499</v>
      </c>
      <c r="G202">
        <f t="shared" si="7"/>
        <v>0</v>
      </c>
    </row>
    <row r="203" spans="1:7">
      <c r="A203" t="s">
        <v>228</v>
      </c>
      <c r="B203">
        <v>129608</v>
      </c>
      <c r="C203" t="s">
        <v>699</v>
      </c>
      <c r="D203" s="5">
        <f>B203/SUM($B$2:$B$403)</f>
        <v>0.000421507316512084</v>
      </c>
      <c r="E203" s="7">
        <f>SUMIF($C$2:$C$403,C203,$D$2:$D$403)</f>
        <v>0.00152227597612012</v>
      </c>
      <c r="F203" s="5">
        <f t="shared" si="6"/>
        <v>0.00110076865960803</v>
      </c>
      <c r="G203">
        <f t="shared" si="7"/>
        <v>0</v>
      </c>
    </row>
    <row r="204" spans="1:7">
      <c r="A204" t="s">
        <v>121</v>
      </c>
      <c r="B204">
        <v>117338</v>
      </c>
      <c r="C204" t="s">
        <v>682</v>
      </c>
      <c r="D204" s="5">
        <f>B204/SUM($B$2:$B$403)</f>
        <v>0.000381603184254791</v>
      </c>
      <c r="E204" s="7">
        <f>SUMIF($C$2:$C$403,C204,$D$2:$D$403)</f>
        <v>0.00151065271868837</v>
      </c>
      <c r="F204" s="5">
        <f t="shared" si="6"/>
        <v>0.00112904953443358</v>
      </c>
      <c r="G204">
        <f t="shared" si="7"/>
        <v>0</v>
      </c>
    </row>
    <row r="205" spans="1:7">
      <c r="A205" t="s">
        <v>235</v>
      </c>
      <c r="B205">
        <v>37959</v>
      </c>
      <c r="C205" t="s">
        <v>610</v>
      </c>
      <c r="D205" s="5">
        <f>B205/SUM($B$2:$B$403)</f>
        <v>0.000123449140697196</v>
      </c>
      <c r="E205" s="7">
        <f>SUMIF($C$2:$C$403,C205,$D$2:$D$403)</f>
        <v>0.00145781795645104</v>
      </c>
      <c r="F205" s="5">
        <f t="shared" si="6"/>
        <v>0.00133436881575385</v>
      </c>
      <c r="G205">
        <f t="shared" si="7"/>
        <v>0</v>
      </c>
    </row>
    <row r="206" spans="1:7">
      <c r="A206" t="s">
        <v>336</v>
      </c>
      <c r="B206">
        <v>27362</v>
      </c>
      <c r="C206" t="s">
        <v>224</v>
      </c>
      <c r="D206" s="5">
        <f>B206/SUM($B$2:$B$403)</f>
        <v>8.89858897167123e-5</v>
      </c>
      <c r="E206" s="7">
        <f>SUMIF($C$2:$C$403,C206,$D$2:$D$403)</f>
        <v>0.00144668902893805</v>
      </c>
      <c r="F206" s="5">
        <f t="shared" si="6"/>
        <v>0.00135770313922134</v>
      </c>
      <c r="G206">
        <f t="shared" si="7"/>
        <v>0</v>
      </c>
    </row>
    <row r="207" spans="1:7">
      <c r="A207" t="s">
        <v>265</v>
      </c>
      <c r="B207">
        <v>3058</v>
      </c>
      <c r="C207" t="s">
        <v>137</v>
      </c>
      <c r="D207" s="5">
        <f>B207/SUM($B$2:$B$403)</f>
        <v>9.94513744440122e-6</v>
      </c>
      <c r="E207" s="7">
        <f>SUMIF($C$2:$C$403,C207,$D$2:$D$403)</f>
        <v>0.00132777016177259</v>
      </c>
      <c r="F207" s="5">
        <f t="shared" si="6"/>
        <v>0.00131782502432819</v>
      </c>
      <c r="G207">
        <f t="shared" si="7"/>
        <v>0</v>
      </c>
    </row>
    <row r="208" spans="1:7">
      <c r="A208" t="s">
        <v>258</v>
      </c>
      <c r="B208">
        <v>1470</v>
      </c>
      <c r="C208" t="s">
        <v>390</v>
      </c>
      <c r="D208" s="5">
        <f>B208/SUM($B$2:$B$403)</f>
        <v>4.78069066163172e-6</v>
      </c>
      <c r="E208" s="7">
        <f>SUMIF($C$2:$C$403,C208,$D$2:$D$403)</f>
        <v>0.00131948363129243</v>
      </c>
      <c r="F208" s="5">
        <f t="shared" si="6"/>
        <v>0.00131470294063079</v>
      </c>
      <c r="G208">
        <f t="shared" si="7"/>
        <v>0</v>
      </c>
    </row>
    <row r="209" spans="1:7">
      <c r="A209" t="s">
        <v>547</v>
      </c>
      <c r="B209">
        <v>36542</v>
      </c>
      <c r="C209" t="s">
        <v>287</v>
      </c>
      <c r="D209" s="5">
        <f>B209/SUM($B$2:$B$403)</f>
        <v>0.000118840815073025</v>
      </c>
      <c r="E209" s="7">
        <f>SUMIF($C$2:$C$403,C209,$D$2:$D$403)</f>
        <v>0.0012066918533831</v>
      </c>
      <c r="F209" s="5">
        <f t="shared" si="6"/>
        <v>0.00108785103831007</v>
      </c>
      <c r="G209">
        <f t="shared" si="7"/>
        <v>0</v>
      </c>
    </row>
    <row r="210" spans="1:7">
      <c r="A210" t="s">
        <v>168</v>
      </c>
      <c r="B210">
        <v>50806</v>
      </c>
      <c r="C210" t="s">
        <v>536</v>
      </c>
      <c r="D210" s="5">
        <f>B210/SUM($B$2:$B$403)</f>
        <v>0.000165229775343443</v>
      </c>
      <c r="E210" s="7">
        <f>SUMIF($C$2:$C$403,C210,$D$2:$D$403)</f>
        <v>0.00119232376403406</v>
      </c>
      <c r="F210" s="5">
        <f t="shared" si="6"/>
        <v>0.00102709398869062</v>
      </c>
      <c r="G210">
        <f t="shared" si="7"/>
        <v>0</v>
      </c>
    </row>
    <row r="211" spans="1:7">
      <c r="A211" t="s">
        <v>110</v>
      </c>
      <c r="B211">
        <v>17816</v>
      </c>
      <c r="C211" t="s">
        <v>129</v>
      </c>
      <c r="D211" s="5">
        <f>B211/SUM($B$2:$B$403)</f>
        <v>5.79406699507692e-5</v>
      </c>
      <c r="E211" s="7">
        <f>SUMIF($C$2:$C$403,C211,$D$2:$D$403)</f>
        <v>0.0011268998497211</v>
      </c>
      <c r="F211" s="5">
        <f t="shared" si="6"/>
        <v>0.00106895917977033</v>
      </c>
      <c r="G211">
        <f t="shared" si="7"/>
        <v>0</v>
      </c>
    </row>
    <row r="212" spans="1:7">
      <c r="A212" t="s">
        <v>184</v>
      </c>
      <c r="B212">
        <v>23573</v>
      </c>
      <c r="C212" t="s">
        <v>468</v>
      </c>
      <c r="D212" s="5">
        <f>B212/SUM($B$2:$B$403)</f>
        <v>7.66634156235677e-5</v>
      </c>
      <c r="E212" s="7">
        <f>SUMIF($C$2:$C$403,C212,$D$2:$D$403)</f>
        <v>0.00108165565347306</v>
      </c>
      <c r="F212" s="5">
        <f t="shared" si="6"/>
        <v>0.00100499223784949</v>
      </c>
      <c r="G212">
        <f t="shared" si="7"/>
        <v>0</v>
      </c>
    </row>
    <row r="213" spans="1:7">
      <c r="A213" t="s">
        <v>509</v>
      </c>
      <c r="B213">
        <v>105177</v>
      </c>
      <c r="C213" t="s">
        <v>504</v>
      </c>
      <c r="D213" s="5">
        <f>B213/SUM($B$2:$B$403)</f>
        <v>0.000342053538583972</v>
      </c>
      <c r="E213" s="7">
        <f>SUMIF($C$2:$C$403,C213,$D$2:$D$403)</f>
        <v>0.0010775156404035</v>
      </c>
      <c r="F213" s="5">
        <f t="shared" si="6"/>
        <v>0.000735462101819527</v>
      </c>
      <c r="G213">
        <f t="shared" si="7"/>
        <v>0</v>
      </c>
    </row>
    <row r="214" spans="1:7">
      <c r="A214" t="s">
        <v>273</v>
      </c>
      <c r="B214">
        <v>124700</v>
      </c>
      <c r="C214" t="s">
        <v>618</v>
      </c>
      <c r="D214" s="5">
        <f>B214/SUM($B$2:$B$403)</f>
        <v>0.000405545663609167</v>
      </c>
      <c r="E214" s="7">
        <f>SUMIF($C$2:$C$403,C214,$D$2:$D$403)</f>
        <v>0.00103595290118197</v>
      </c>
      <c r="F214" s="5">
        <f t="shared" si="6"/>
        <v>0.000630407237572799</v>
      </c>
      <c r="G214">
        <f t="shared" si="7"/>
        <v>0</v>
      </c>
    </row>
    <row r="215" spans="1:7">
      <c r="A215" t="s">
        <v>347</v>
      </c>
      <c r="B215">
        <v>11565</v>
      </c>
      <c r="C215" t="s">
        <v>63</v>
      </c>
      <c r="D215" s="5">
        <f>B215/SUM($B$2:$B$403)</f>
        <v>3.7611352042021e-5</v>
      </c>
      <c r="E215" s="7">
        <f>SUMIF($C$2:$C$403,C215,$D$2:$D$403)</f>
        <v>0.000979833446721342</v>
      </c>
      <c r="F215" s="5">
        <f t="shared" si="6"/>
        <v>0.000942222094679322</v>
      </c>
      <c r="G215">
        <f t="shared" si="7"/>
        <v>0</v>
      </c>
    </row>
    <row r="216" spans="1:7">
      <c r="A216" t="s">
        <v>172</v>
      </c>
      <c r="B216">
        <v>142937</v>
      </c>
      <c r="C216" t="s">
        <v>173</v>
      </c>
      <c r="D216" s="5">
        <f>B216/SUM($B$2:$B$403)</f>
        <v>0.000464855497348063</v>
      </c>
      <c r="E216" s="7">
        <f>SUMIF($C$2:$C$403,C216,$D$2:$D$403)</f>
        <v>0.000891312617388721</v>
      </c>
      <c r="F216" s="5">
        <f t="shared" si="6"/>
        <v>0.000426457120040658</v>
      </c>
      <c r="G216">
        <f t="shared" si="7"/>
        <v>0</v>
      </c>
    </row>
    <row r="217" spans="1:7">
      <c r="A217" t="s">
        <v>247</v>
      </c>
      <c r="B217">
        <v>63052</v>
      </c>
      <c r="C217" t="s">
        <v>656</v>
      </c>
      <c r="D217" s="5">
        <f>B217/SUM($B$2:$B$403)</f>
        <v>0.000205055855508301</v>
      </c>
      <c r="E217" s="7">
        <f>SUMIF($C$2:$C$403,C217,$D$2:$D$403)</f>
        <v>0.000832620696048267</v>
      </c>
      <c r="F217" s="5">
        <f t="shared" si="6"/>
        <v>0.000627564840539965</v>
      </c>
      <c r="G217">
        <f t="shared" si="7"/>
        <v>0</v>
      </c>
    </row>
    <row r="218" spans="1:7">
      <c r="A218" t="s">
        <v>19</v>
      </c>
      <c r="B218">
        <v>18008</v>
      </c>
      <c r="C218" t="s">
        <v>562</v>
      </c>
      <c r="D218" s="5">
        <f>B218/SUM($B$2:$B$403)</f>
        <v>5.85650866902476e-5</v>
      </c>
      <c r="E218" s="7">
        <f>SUMIF($C$2:$C$403,C218,$D$2:$D$403)</f>
        <v>0.000787568377860795</v>
      </c>
      <c r="F218" s="5">
        <f t="shared" si="6"/>
        <v>0.000729003291170547</v>
      </c>
      <c r="G218">
        <f t="shared" si="7"/>
        <v>0</v>
      </c>
    </row>
    <row r="219" spans="1:7">
      <c r="A219" t="s">
        <v>245</v>
      </c>
      <c r="B219">
        <v>30421</v>
      </c>
      <c r="C219" t="s">
        <v>169</v>
      </c>
      <c r="D219" s="5">
        <f>B219/SUM($B$2:$B$403)</f>
        <v>9.89342793316316e-5</v>
      </c>
      <c r="E219" s="7">
        <f>SUMIF($C$2:$C$403,C219,$D$2:$D$403)</f>
        <v>0.000753505143854039</v>
      </c>
      <c r="F219" s="5">
        <f t="shared" si="6"/>
        <v>0.000654570864522407</v>
      </c>
      <c r="G219">
        <f t="shared" si="7"/>
        <v>0</v>
      </c>
    </row>
    <row r="220" spans="1:7">
      <c r="A220" t="s">
        <v>37</v>
      </c>
      <c r="B220">
        <v>7585</v>
      </c>
      <c r="C220" t="s">
        <v>590</v>
      </c>
      <c r="D220" s="5">
        <f>B220/SUM($B$2:$B$403)</f>
        <v>2.4667713379916e-5</v>
      </c>
      <c r="E220" s="7">
        <f>SUMIF($C$2:$C$403,C220,$D$2:$D$403)</f>
        <v>0.000746740629176356</v>
      </c>
      <c r="F220" s="5">
        <f t="shared" si="6"/>
        <v>0.00072207291579644</v>
      </c>
      <c r="G220">
        <f t="shared" si="7"/>
        <v>0</v>
      </c>
    </row>
    <row r="221" spans="1:7">
      <c r="A221" t="s">
        <v>95</v>
      </c>
      <c r="B221">
        <v>44570</v>
      </c>
      <c r="C221" t="s">
        <v>147</v>
      </c>
      <c r="D221" s="5">
        <f>B221/SUM($B$2:$B$403)</f>
        <v>0.000144949239992466</v>
      </c>
      <c r="E221" s="7">
        <f>SUMIF($C$2:$C$403,C221,$D$2:$D$403)</f>
        <v>0.000740463940076391</v>
      </c>
      <c r="F221" s="5">
        <f t="shared" si="6"/>
        <v>0.000595514700083924</v>
      </c>
      <c r="G221">
        <f t="shared" si="7"/>
        <v>0</v>
      </c>
    </row>
    <row r="222" spans="1:7">
      <c r="A222" t="s">
        <v>250</v>
      </c>
      <c r="B222">
        <v>35299</v>
      </c>
      <c r="C222" t="s">
        <v>40</v>
      </c>
      <c r="D222" s="5">
        <f>B222/SUM($B$2:$B$403)</f>
        <v>0.000114798367119005</v>
      </c>
      <c r="E222" s="7">
        <f>SUMIF($C$2:$C$403,C222,$D$2:$D$403)</f>
        <v>0.000718235354585062</v>
      </c>
      <c r="F222" s="5">
        <f t="shared" si="6"/>
        <v>0.000603436987466057</v>
      </c>
      <c r="G222">
        <f t="shared" si="7"/>
        <v>0</v>
      </c>
    </row>
    <row r="223" spans="1:7">
      <c r="A223" t="s">
        <v>487</v>
      </c>
      <c r="B223">
        <v>6143</v>
      </c>
      <c r="C223" t="s">
        <v>701</v>
      </c>
      <c r="D223" s="5">
        <f>B223/SUM($B$2:$B$403)</f>
        <v>1.99780834927916e-5</v>
      </c>
      <c r="E223" s="7">
        <f>SUMIF($C$2:$C$403,C223,$D$2:$D$403)</f>
        <v>0.000694894526776538</v>
      </c>
      <c r="F223" s="5">
        <f t="shared" si="6"/>
        <v>0.000674916443283746</v>
      </c>
      <c r="G223">
        <f t="shared" si="7"/>
        <v>0</v>
      </c>
    </row>
    <row r="224" spans="1:7">
      <c r="A224" t="s">
        <v>39</v>
      </c>
      <c r="B224">
        <v>14800</v>
      </c>
      <c r="C224" t="s">
        <v>246</v>
      </c>
      <c r="D224" s="5">
        <f>B224/SUM($B$2:$B$403)</f>
        <v>4.81321236681289e-5</v>
      </c>
      <c r="E224" s="7">
        <f>SUMIF($C$2:$C$403,C224,$D$2:$D$403)</f>
        <v>0.000646843707371362</v>
      </c>
      <c r="F224" s="5">
        <f t="shared" si="6"/>
        <v>0.000598711583703233</v>
      </c>
      <c r="G224">
        <f t="shared" si="7"/>
        <v>0</v>
      </c>
    </row>
    <row r="225" spans="1:7">
      <c r="A225" t="s">
        <v>25</v>
      </c>
      <c r="B225">
        <v>103539</v>
      </c>
      <c r="C225" t="s">
        <v>164</v>
      </c>
      <c r="D225" s="5">
        <f>B225/SUM($B$2:$B$403)</f>
        <v>0.000336726483275297</v>
      </c>
      <c r="E225" s="7">
        <f>SUMIF($C$2:$C$403,C225,$D$2:$D$403)</f>
        <v>0.000631841444771289</v>
      </c>
      <c r="F225" s="5">
        <f t="shared" si="6"/>
        <v>0.000295114961495992</v>
      </c>
      <c r="G225">
        <f t="shared" si="7"/>
        <v>0</v>
      </c>
    </row>
    <row r="226" spans="1:7">
      <c r="A226" t="s">
        <v>86</v>
      </c>
      <c r="B226">
        <v>22571</v>
      </c>
      <c r="C226" t="s">
        <v>242</v>
      </c>
      <c r="D226" s="5">
        <f>B226/SUM($B$2:$B$403)</f>
        <v>7.34047407644146e-5</v>
      </c>
      <c r="E226" s="7">
        <f>SUMIF($C$2:$C$403,C226,$D$2:$D$403)</f>
        <v>0.000589602254081988</v>
      </c>
      <c r="F226" s="5">
        <f t="shared" si="6"/>
        <v>0.000516197513317573</v>
      </c>
      <c r="G226">
        <f t="shared" si="7"/>
        <v>0</v>
      </c>
    </row>
    <row r="227" spans="1:7">
      <c r="A227" t="s">
        <v>150</v>
      </c>
      <c r="B227">
        <v>95534</v>
      </c>
      <c r="C227" t="s">
        <v>398</v>
      </c>
      <c r="D227" s="5">
        <f>B227/SUM($B$2:$B$403)</f>
        <v>0.000310692858277772</v>
      </c>
      <c r="E227" s="7">
        <f>SUMIF($C$2:$C$403,C227,$D$2:$D$403)</f>
        <v>0.000544429605585345</v>
      </c>
      <c r="F227" s="5">
        <f t="shared" si="6"/>
        <v>0.000233736747307574</v>
      </c>
      <c r="G227">
        <f t="shared" si="7"/>
        <v>0</v>
      </c>
    </row>
    <row r="228" spans="1:7">
      <c r="A228" t="s">
        <v>132</v>
      </c>
      <c r="B228">
        <v>7021</v>
      </c>
      <c r="C228" t="s">
        <v>195</v>
      </c>
      <c r="D228" s="5">
        <f>B228/SUM($B$2:$B$403)</f>
        <v>2.28334892076982e-5</v>
      </c>
      <c r="E228" s="7">
        <f>SUMIF($C$2:$C$403,C228,$D$2:$D$403)</f>
        <v>0.000537782169046314</v>
      </c>
      <c r="F228" s="5">
        <f t="shared" si="6"/>
        <v>0.000514948679838616</v>
      </c>
      <c r="G228">
        <f t="shared" si="7"/>
        <v>0</v>
      </c>
    </row>
    <row r="229" spans="1:7">
      <c r="A229" t="s">
        <v>67</v>
      </c>
      <c r="B229">
        <v>47</v>
      </c>
      <c r="C229" t="s">
        <v>219</v>
      </c>
      <c r="D229" s="5">
        <f>B229/SUM($B$2:$B$403)</f>
        <v>1.5285201435149e-7</v>
      </c>
      <c r="E229" s="7">
        <f>SUMIF($C$2:$C$403,C229,$D$2:$D$403)</f>
        <v>0.00051138430095076</v>
      </c>
      <c r="F229" s="5">
        <f t="shared" si="6"/>
        <v>0.000511231448936409</v>
      </c>
      <c r="G229">
        <f t="shared" si="7"/>
        <v>0</v>
      </c>
    </row>
    <row r="230" spans="1:7">
      <c r="A230" t="s">
        <v>218</v>
      </c>
      <c r="B230">
        <v>43740</v>
      </c>
      <c r="C230" t="s">
        <v>249</v>
      </c>
      <c r="D230" s="5">
        <f>B230/SUM($B$2:$B$403)</f>
        <v>0.000142249938462429</v>
      </c>
      <c r="E230" s="7">
        <f>SUMIF($C$2:$C$403,C230,$D$2:$D$403)</f>
        <v>0.000501949754277703</v>
      </c>
      <c r="F230" s="5">
        <f t="shared" si="6"/>
        <v>0.000359699815815274</v>
      </c>
      <c r="G230">
        <f t="shared" si="7"/>
        <v>0</v>
      </c>
    </row>
    <row r="231" spans="1:7">
      <c r="A231" t="s">
        <v>271</v>
      </c>
      <c r="B231">
        <v>1019</v>
      </c>
      <c r="C231" t="s">
        <v>538</v>
      </c>
      <c r="D231" s="5">
        <f>B231/SUM($B$2:$B$403)</f>
        <v>3.31396175796103e-6</v>
      </c>
      <c r="E231" s="7">
        <f>SUMIF($C$2:$C$403,C231,$D$2:$D$403)</f>
        <v>0.000463369255421284</v>
      </c>
      <c r="F231" s="5">
        <f t="shared" si="6"/>
        <v>0.000460055293663323</v>
      </c>
      <c r="G231">
        <f t="shared" si="7"/>
        <v>0</v>
      </c>
    </row>
    <row r="232" spans="1:7">
      <c r="A232" t="s">
        <v>177</v>
      </c>
      <c r="B232">
        <v>53417</v>
      </c>
      <c r="C232" t="s">
        <v>333</v>
      </c>
      <c r="D232" s="5">
        <f>B232/SUM($B$2:$B$403)</f>
        <v>0.000173721192566246</v>
      </c>
      <c r="E232" s="7">
        <f>SUMIF($C$2:$C$403,C232,$D$2:$D$403)</f>
        <v>0.000381677984176707</v>
      </c>
      <c r="F232" s="5">
        <f t="shared" si="6"/>
        <v>0.000207956791610462</v>
      </c>
      <c r="G232">
        <f t="shared" si="7"/>
        <v>0</v>
      </c>
    </row>
    <row r="233" spans="1:7">
      <c r="A233" t="s">
        <v>69</v>
      </c>
      <c r="B233">
        <v>7138</v>
      </c>
      <c r="C233" t="s">
        <v>592</v>
      </c>
      <c r="D233" s="5">
        <f>B233/SUM($B$2:$B$403)</f>
        <v>2.32139931583178e-5</v>
      </c>
      <c r="E233" s="7">
        <f>SUMIF($C$2:$C$403,C233,$D$2:$D$403)</f>
        <v>0.000300136312775965</v>
      </c>
      <c r="F233" s="5">
        <f t="shared" si="6"/>
        <v>0.000276922319617647</v>
      </c>
      <c r="G233">
        <f t="shared" si="7"/>
        <v>0</v>
      </c>
    </row>
    <row r="234" spans="1:7">
      <c r="A234" t="s">
        <v>231</v>
      </c>
      <c r="B234">
        <v>7042</v>
      </c>
      <c r="C234" t="s">
        <v>366</v>
      </c>
      <c r="D234" s="5">
        <f>B234/SUM($B$2:$B$403)</f>
        <v>2.29017847885786e-5</v>
      </c>
      <c r="E234" s="7">
        <f>SUMIF($C$2:$C$403,C234,$D$2:$D$403)</f>
        <v>0.000265081166761183</v>
      </c>
      <c r="F234" s="5">
        <f t="shared" si="6"/>
        <v>0.000242179381972605</v>
      </c>
      <c r="G234">
        <f t="shared" si="7"/>
        <v>0</v>
      </c>
    </row>
    <row r="235" spans="1:7">
      <c r="A235" t="s">
        <v>443</v>
      </c>
      <c r="B235">
        <v>10893</v>
      </c>
      <c r="C235" t="s">
        <v>454</v>
      </c>
      <c r="D235" s="5">
        <f>B235/SUM($B$2:$B$403)</f>
        <v>3.54258934538465e-5</v>
      </c>
      <c r="E235" s="7">
        <f>SUMIF($C$2:$C$403,C235,$D$2:$D$403)</f>
        <v>0.000259767120134581</v>
      </c>
      <c r="F235" s="5">
        <f t="shared" si="6"/>
        <v>0.000224341226680734</v>
      </c>
      <c r="G235">
        <f t="shared" si="7"/>
        <v>0</v>
      </c>
    </row>
    <row r="236" spans="1:7">
      <c r="A236" t="s">
        <v>178</v>
      </c>
      <c r="B236">
        <v>5581</v>
      </c>
      <c r="C236" t="s">
        <v>362</v>
      </c>
      <c r="D236" s="5">
        <f>B236/SUM($B$2:$B$403)</f>
        <v>1.81503636616099e-5</v>
      </c>
      <c r="E236" s="7">
        <f>SUMIF($C$2:$C$403,C236,$D$2:$D$403)</f>
        <v>0.000216175026509743</v>
      </c>
      <c r="F236" s="5">
        <f t="shared" si="6"/>
        <v>0.000198024662848133</v>
      </c>
      <c r="G236">
        <f t="shared" si="7"/>
        <v>0</v>
      </c>
    </row>
    <row r="237" spans="1:7">
      <c r="A237" t="s">
        <v>571</v>
      </c>
      <c r="B237">
        <v>5288</v>
      </c>
      <c r="C237" t="s">
        <v>556</v>
      </c>
      <c r="D237" s="5">
        <f>B237/SUM($B$2:$B$403)</f>
        <v>1.71974776998017e-5</v>
      </c>
      <c r="E237" s="7">
        <f>SUMIF($C$2:$C$403,C237,$D$2:$D$403)</f>
        <v>0.00013808716019924</v>
      </c>
      <c r="F237" s="5">
        <f t="shared" si="6"/>
        <v>0.000120889682499438</v>
      </c>
      <c r="G237">
        <f t="shared" si="7"/>
        <v>0</v>
      </c>
    </row>
    <row r="238" spans="1:7">
      <c r="A238" t="s">
        <v>633</v>
      </c>
      <c r="B238">
        <v>8560380</v>
      </c>
      <c r="C238" t="s">
        <v>634</v>
      </c>
      <c r="D238" s="5">
        <f>B238/SUM($B$2:$B$403)</f>
        <v>0.0278398154598768</v>
      </c>
      <c r="E238" s="7">
        <f>SUMIF($C$2:$C$403,C238,$D$2:$D$403)</f>
        <v>0.0278398154598768</v>
      </c>
      <c r="F238" s="5">
        <f t="shared" si="6"/>
        <v>0</v>
      </c>
      <c r="G238">
        <f t="shared" si="7"/>
        <v>0</v>
      </c>
    </row>
    <row r="239" spans="1:7">
      <c r="A239" t="s">
        <v>565</v>
      </c>
      <c r="B239">
        <v>10519921</v>
      </c>
      <c r="C239" t="s">
        <v>566</v>
      </c>
      <c r="D239" s="5">
        <f>B239/SUM($B$2:$B$403)</f>
        <v>0.034212576929118</v>
      </c>
      <c r="E239" s="7">
        <f>SUMIF($C$2:$C$403,C239,$D$2:$D$403)</f>
        <v>0.034212576929118</v>
      </c>
      <c r="F239" s="5">
        <f t="shared" si="6"/>
        <v>0</v>
      </c>
      <c r="G239">
        <f t="shared" si="7"/>
        <v>0</v>
      </c>
    </row>
    <row r="240" spans="1:7">
      <c r="A240" t="s">
        <v>471</v>
      </c>
      <c r="B240">
        <v>5378305</v>
      </c>
      <c r="C240" t="s">
        <v>472</v>
      </c>
      <c r="D240" s="5">
        <f>B240/SUM($B$2:$B$403)</f>
        <v>0.0174911649584403</v>
      </c>
      <c r="E240" s="7">
        <f>SUMIF($C$2:$C$403,C240,$D$2:$D$403)</f>
        <v>0.0174911649584403</v>
      </c>
      <c r="F240" s="5">
        <f t="shared" si="6"/>
        <v>0</v>
      </c>
      <c r="G240">
        <f t="shared" si="7"/>
        <v>0</v>
      </c>
    </row>
    <row r="241" spans="1:7">
      <c r="A241" t="s">
        <v>669</v>
      </c>
      <c r="B241">
        <v>4617458</v>
      </c>
      <c r="C241" t="s">
        <v>402</v>
      </c>
      <c r="D241" s="5">
        <f>B241/SUM($B$2:$B$403)</f>
        <v>0.0150167607762426</v>
      </c>
      <c r="E241" s="7">
        <f>SUMIF($C$2:$C$403,C241,$D$2:$D$403)</f>
        <v>0.0150167607762426</v>
      </c>
      <c r="F241" s="5">
        <f t="shared" si="6"/>
        <v>0</v>
      </c>
      <c r="G241">
        <f t="shared" si="7"/>
        <v>0</v>
      </c>
    </row>
    <row r="242" spans="1:7">
      <c r="A242" t="s">
        <v>515</v>
      </c>
      <c r="B242">
        <v>3806174</v>
      </c>
      <c r="C242" t="s">
        <v>516</v>
      </c>
      <c r="D242" s="5">
        <f>B242/SUM($B$2:$B$403)</f>
        <v>0.0123783268696227</v>
      </c>
      <c r="E242" s="7">
        <f>SUMIF($C$2:$C$403,C242,$D$2:$D$403)</f>
        <v>0.0123783268696227</v>
      </c>
      <c r="F242" s="5">
        <f t="shared" si="6"/>
        <v>0</v>
      </c>
      <c r="G242">
        <f t="shared" si="7"/>
        <v>0</v>
      </c>
    </row>
    <row r="243" spans="1:7">
      <c r="A243" t="s">
        <v>643</v>
      </c>
      <c r="B243">
        <v>2636015</v>
      </c>
      <c r="C243" t="s">
        <v>644</v>
      </c>
      <c r="D243" s="5">
        <f>B243/SUM($B$2:$B$403)</f>
        <v>0.00857277026831369</v>
      </c>
      <c r="E243" s="7">
        <f>SUMIF($C$2:$C$403,C243,$D$2:$D$403)</f>
        <v>0.00857277026831369</v>
      </c>
      <c r="F243" s="5">
        <f t="shared" si="6"/>
        <v>0</v>
      </c>
      <c r="G243">
        <f t="shared" si="7"/>
        <v>0</v>
      </c>
    </row>
    <row r="244" spans="1:7">
      <c r="A244" t="s">
        <v>531</v>
      </c>
      <c r="B244">
        <v>2762926</v>
      </c>
      <c r="C244" t="s">
        <v>532</v>
      </c>
      <c r="D244" s="5">
        <f>B244/SUM($B$2:$B$403)</f>
        <v>0.00898550648093842</v>
      </c>
      <c r="E244" s="7">
        <f>SUMIF($C$2:$C$403,C244,$D$2:$D$403)</f>
        <v>0.00898550648093842</v>
      </c>
      <c r="F244" s="5">
        <f t="shared" si="6"/>
        <v>0</v>
      </c>
      <c r="G244">
        <f t="shared" si="7"/>
        <v>0</v>
      </c>
    </row>
    <row r="245" spans="1:7">
      <c r="A245" t="s">
        <v>641</v>
      </c>
      <c r="B245">
        <v>4032007</v>
      </c>
      <c r="C245" t="s">
        <v>630</v>
      </c>
      <c r="D245" s="5">
        <f>B245/SUM($B$2:$B$403)</f>
        <v>0.0131127742942406</v>
      </c>
      <c r="E245" s="7">
        <f>SUMIF($C$2:$C$403,C245,$D$2:$D$403)</f>
        <v>0.0131127742942406</v>
      </c>
      <c r="F245" s="5">
        <f t="shared" si="6"/>
        <v>0</v>
      </c>
      <c r="G245">
        <f t="shared" si="7"/>
        <v>0</v>
      </c>
    </row>
    <row r="246" spans="1:7">
      <c r="A246" t="s">
        <v>595</v>
      </c>
      <c r="B246">
        <v>1847431</v>
      </c>
      <c r="C246" t="s">
        <v>580</v>
      </c>
      <c r="D246" s="5">
        <f>B246/SUM($B$2:$B$403)</f>
        <v>0.00600816063245506</v>
      </c>
      <c r="E246" s="7">
        <f>SUMIF($C$2:$C$403,C246,$D$2:$D$403)</f>
        <v>0.00600816063245506</v>
      </c>
      <c r="F246" s="5">
        <f t="shared" si="6"/>
        <v>0</v>
      </c>
      <c r="G246">
        <f t="shared" si="7"/>
        <v>0</v>
      </c>
    </row>
    <row r="247" spans="1:7">
      <c r="A247" t="s">
        <v>277</v>
      </c>
      <c r="B247">
        <v>2954203</v>
      </c>
      <c r="C247" t="s">
        <v>664</v>
      </c>
      <c r="D247" s="5">
        <f>B247/SUM($B$2:$B$403)</f>
        <v>0.00960757190113225</v>
      </c>
      <c r="E247" s="7">
        <f>SUMIF($C$2:$C$403,C247,$D$2:$D$403)</f>
        <v>0.00960757190113225</v>
      </c>
      <c r="F247" s="5">
        <f t="shared" si="6"/>
        <v>0</v>
      </c>
      <c r="G247">
        <f t="shared" si="7"/>
        <v>0</v>
      </c>
    </row>
    <row r="248" spans="1:7">
      <c r="A248" t="s">
        <v>599</v>
      </c>
      <c r="B248">
        <v>1932126</v>
      </c>
      <c r="C248" t="s">
        <v>702</v>
      </c>
      <c r="D248" s="5">
        <f>B248/SUM($B$2:$B$403)</f>
        <v>0.00628360321448697</v>
      </c>
      <c r="E248" s="7">
        <f>SUMIF($C$2:$C$403,C248,$D$2:$D$403)</f>
        <v>0.00628360321448697</v>
      </c>
      <c r="F248" s="5">
        <f t="shared" si="6"/>
        <v>0</v>
      </c>
      <c r="G248">
        <f t="shared" si="7"/>
        <v>0</v>
      </c>
    </row>
    <row r="249" spans="1:7">
      <c r="A249" t="s">
        <v>451</v>
      </c>
      <c r="B249">
        <v>2806040</v>
      </c>
      <c r="C249" t="s">
        <v>452</v>
      </c>
      <c r="D249" s="5">
        <f>B249/SUM($B$2:$B$403)</f>
        <v>0.00912572056065651</v>
      </c>
      <c r="E249" s="7">
        <f>SUMIF($C$2:$C$403,C249,$D$2:$D$403)</f>
        <v>0.00912572056065651</v>
      </c>
      <c r="F249" s="5">
        <f t="shared" si="6"/>
        <v>0</v>
      </c>
      <c r="G249">
        <f t="shared" si="7"/>
        <v>0</v>
      </c>
    </row>
    <row r="250" spans="1:7">
      <c r="A250" t="s">
        <v>429</v>
      </c>
      <c r="B250">
        <v>2464890</v>
      </c>
      <c r="C250" t="s">
        <v>430</v>
      </c>
      <c r="D250" s="5">
        <f>B250/SUM($B$2:$B$403)</f>
        <v>0.00801624258840095</v>
      </c>
      <c r="E250" s="7">
        <f>SUMIF($C$2:$C$403,C250,$D$2:$D$403)</f>
        <v>0.00801624258840095</v>
      </c>
      <c r="F250" s="5">
        <f t="shared" si="6"/>
        <v>0</v>
      </c>
      <c r="G250">
        <f t="shared" si="7"/>
        <v>0</v>
      </c>
    </row>
    <row r="251" spans="1:7">
      <c r="A251" t="s">
        <v>663</v>
      </c>
      <c r="B251">
        <v>3562020</v>
      </c>
      <c r="C251" t="s">
        <v>396</v>
      </c>
      <c r="D251" s="5">
        <f>B251/SUM($B$2:$B$403)</f>
        <v>0.0115842964289425</v>
      </c>
      <c r="E251" s="7">
        <f>SUMIF($C$2:$C$403,C251,$D$2:$D$403)</f>
        <v>0.0115842964289425</v>
      </c>
      <c r="F251" s="5">
        <f t="shared" si="6"/>
        <v>0</v>
      </c>
      <c r="G251">
        <f t="shared" si="7"/>
        <v>0</v>
      </c>
    </row>
    <row r="252" spans="1:7">
      <c r="A252" t="s">
        <v>625</v>
      </c>
      <c r="B252">
        <v>1278355</v>
      </c>
      <c r="C252" t="s">
        <v>640</v>
      </c>
      <c r="D252" s="5">
        <f>B252/SUM($B$2:$B$403)</f>
        <v>0.00415742844268722</v>
      </c>
      <c r="E252" s="7">
        <f>SUMIF($C$2:$C$403,C252,$D$2:$D$403)</f>
        <v>0.00415742844268722</v>
      </c>
      <c r="F252" s="5">
        <f t="shared" si="6"/>
        <v>0</v>
      </c>
      <c r="G252">
        <f t="shared" si="7"/>
        <v>0</v>
      </c>
    </row>
    <row r="253" spans="1:7">
      <c r="A253" t="s">
        <v>675</v>
      </c>
      <c r="B253">
        <v>1696964</v>
      </c>
      <c r="C253" t="s">
        <v>408</v>
      </c>
      <c r="D253" s="5">
        <f>B253/SUM($B$2:$B$403)</f>
        <v>0.00551881629110558</v>
      </c>
      <c r="E253" s="7">
        <f>SUMIF($C$2:$C$403,C253,$D$2:$D$403)</f>
        <v>0.00551881629110558</v>
      </c>
      <c r="F253" s="5">
        <f t="shared" si="6"/>
        <v>0</v>
      </c>
      <c r="G253">
        <f t="shared" si="7"/>
        <v>0</v>
      </c>
    </row>
    <row r="254" spans="1:7">
      <c r="A254" t="s">
        <v>685</v>
      </c>
      <c r="B254">
        <v>2380010</v>
      </c>
      <c r="C254" t="s">
        <v>528</v>
      </c>
      <c r="D254" s="5">
        <f>B254/SUM($B$2:$B$403)</f>
        <v>0.0077401983548232</v>
      </c>
      <c r="E254" s="7">
        <f>SUMIF($C$2:$C$403,C254,$D$2:$D$403)</f>
        <v>0.0077401983548232</v>
      </c>
      <c r="F254" s="5">
        <f t="shared" si="6"/>
        <v>0</v>
      </c>
      <c r="G254">
        <f t="shared" si="7"/>
        <v>0</v>
      </c>
    </row>
    <row r="255" spans="1:7">
      <c r="A255" t="s">
        <v>318</v>
      </c>
      <c r="B255">
        <v>2125717</v>
      </c>
      <c r="C255" t="s">
        <v>259</v>
      </c>
      <c r="D255" s="5">
        <f>B255/SUM($B$2:$B$403)</f>
        <v>0.00691319415725972</v>
      </c>
      <c r="E255" s="7">
        <f>SUMIF($C$2:$C$403,C255,$D$2:$D$403)</f>
        <v>0.00691319415725972</v>
      </c>
      <c r="F255" s="5">
        <f t="shared" si="6"/>
        <v>0</v>
      </c>
      <c r="G255">
        <f t="shared" si="7"/>
        <v>0</v>
      </c>
    </row>
    <row r="256" spans="1:7">
      <c r="A256" t="s">
        <v>469</v>
      </c>
      <c r="B256">
        <v>3794793</v>
      </c>
      <c r="C256" t="s">
        <v>464</v>
      </c>
      <c r="D256" s="5">
        <f>B256/SUM($B$2:$B$403)</f>
        <v>0.0123413139169561</v>
      </c>
      <c r="E256" s="7">
        <f>SUMIF($C$2:$C$403,C256,$D$2:$D$403)</f>
        <v>0.0123413139169561</v>
      </c>
      <c r="F256" s="5">
        <f t="shared" si="6"/>
        <v>0</v>
      </c>
      <c r="G256">
        <f t="shared" si="7"/>
        <v>0</v>
      </c>
    </row>
    <row r="257" spans="1:7">
      <c r="A257" t="s">
        <v>383</v>
      </c>
      <c r="B257">
        <v>4079290</v>
      </c>
      <c r="C257" t="s">
        <v>35</v>
      </c>
      <c r="D257" s="5">
        <f>B257/SUM($B$2:$B$403)</f>
        <v>0.0132665466728487</v>
      </c>
      <c r="E257" s="7">
        <f>SUMIF($C$2:$C$403,C257,$D$2:$D$403)</f>
        <v>0.0132665466728487</v>
      </c>
      <c r="F257" s="5">
        <f t="shared" si="6"/>
        <v>0</v>
      </c>
      <c r="G257">
        <f t="shared" si="7"/>
        <v>0</v>
      </c>
    </row>
    <row r="258" spans="1:7">
      <c r="A258" t="s">
        <v>569</v>
      </c>
      <c r="B258">
        <v>1499150</v>
      </c>
      <c r="C258" t="s">
        <v>570</v>
      </c>
      <c r="D258" s="5">
        <f>B258/SUM($B$2:$B$403)</f>
        <v>0.00487549143223482</v>
      </c>
      <c r="E258" s="7">
        <f>SUMIF($C$2:$C$403,C258,$D$2:$D$403)</f>
        <v>0.00487549143223482</v>
      </c>
      <c r="F258" s="5">
        <f t="shared" ref="F258:F321" si="8">E258-D258</f>
        <v>0</v>
      </c>
      <c r="G258">
        <f t="shared" ref="G258:G321" si="9">COUNTIF(C258:C658,C258)-1</f>
        <v>0</v>
      </c>
    </row>
    <row r="259" spans="1:7">
      <c r="A259" t="s">
        <v>425</v>
      </c>
      <c r="B259">
        <v>12648125</v>
      </c>
      <c r="C259" t="s">
        <v>426</v>
      </c>
      <c r="D259" s="5">
        <f t="shared" ref="D259:D322" si="10">B259/SUM($B$2:$B$403)</f>
        <v>0.0411338592344562</v>
      </c>
      <c r="E259" s="7">
        <f>SUMIF($C$2:$C$403,C259,$D$2:$D$403)</f>
        <v>0.0411338592344562</v>
      </c>
      <c r="F259" s="5">
        <f t="shared" si="8"/>
        <v>0</v>
      </c>
      <c r="G259">
        <f t="shared" si="9"/>
        <v>0</v>
      </c>
    </row>
    <row r="260" spans="1:7">
      <c r="A260" t="s">
        <v>671</v>
      </c>
      <c r="B260">
        <v>3778873</v>
      </c>
      <c r="C260" t="s">
        <v>406</v>
      </c>
      <c r="D260" s="5">
        <f t="shared" si="10"/>
        <v>0.0122895393623076</v>
      </c>
      <c r="E260" s="7">
        <f>SUMIF($C$2:$C$403,C260,$D$2:$D$403)</f>
        <v>0.0122895393623076</v>
      </c>
      <c r="F260" s="5">
        <f t="shared" si="8"/>
        <v>0</v>
      </c>
      <c r="G260">
        <f t="shared" si="9"/>
        <v>0</v>
      </c>
    </row>
    <row r="261" spans="1:7">
      <c r="A261" t="s">
        <v>631</v>
      </c>
      <c r="B261">
        <v>2223200</v>
      </c>
      <c r="C261" t="s">
        <v>632</v>
      </c>
      <c r="D261" s="5">
        <f t="shared" si="10"/>
        <v>0.0072302254958773</v>
      </c>
      <c r="E261" s="7">
        <f>SUMIF($C$2:$C$403,C261,$D$2:$D$403)</f>
        <v>0.0072302254958773</v>
      </c>
      <c r="F261" s="5">
        <f t="shared" si="8"/>
        <v>0</v>
      </c>
      <c r="G261">
        <f t="shared" si="9"/>
        <v>0</v>
      </c>
    </row>
    <row r="262" spans="1:7">
      <c r="A262" t="s">
        <v>601</v>
      </c>
      <c r="B262">
        <v>2318846</v>
      </c>
      <c r="C262" t="s">
        <v>9</v>
      </c>
      <c r="D262" s="5">
        <f t="shared" si="10"/>
        <v>0.0075412825972531</v>
      </c>
      <c r="E262" s="7">
        <f>SUMIF($C$2:$C$403,C262,$D$2:$D$403)</f>
        <v>0.0075412825972531</v>
      </c>
      <c r="F262" s="5">
        <f t="shared" si="8"/>
        <v>0</v>
      </c>
      <c r="G262">
        <f t="shared" si="9"/>
        <v>0</v>
      </c>
    </row>
    <row r="263" spans="1:7">
      <c r="A263" t="s">
        <v>407</v>
      </c>
      <c r="B263">
        <v>1967791</v>
      </c>
      <c r="C263" t="s">
        <v>234</v>
      </c>
      <c r="D263" s="5">
        <f t="shared" si="10"/>
        <v>0.0063995918760156</v>
      </c>
      <c r="E263" s="7">
        <f>SUMIF($C$2:$C$403,C263,$D$2:$D$403)</f>
        <v>0.0063995918760156</v>
      </c>
      <c r="F263" s="5">
        <f t="shared" si="8"/>
        <v>0</v>
      </c>
      <c r="G263">
        <f t="shared" si="9"/>
        <v>0</v>
      </c>
    </row>
    <row r="264" spans="1:7">
      <c r="A264" t="s">
        <v>371</v>
      </c>
      <c r="B264">
        <v>936004</v>
      </c>
      <c r="C264" t="s">
        <v>686</v>
      </c>
      <c r="D264" s="5">
        <f t="shared" si="10"/>
        <v>0.00304404461363941</v>
      </c>
      <c r="E264" s="7">
        <f>SUMIF($C$2:$C$403,C264,$D$2:$D$403)</f>
        <v>0.00304404461363941</v>
      </c>
      <c r="F264" s="5">
        <f t="shared" si="8"/>
        <v>0</v>
      </c>
      <c r="G264">
        <f t="shared" si="9"/>
        <v>0</v>
      </c>
    </row>
    <row r="265" spans="1:7">
      <c r="A265" t="s">
        <v>399</v>
      </c>
      <c r="B265">
        <v>1786300</v>
      </c>
      <c r="C265" t="s">
        <v>141</v>
      </c>
      <c r="D265" s="5">
        <f t="shared" si="10"/>
        <v>0.00580935219651207</v>
      </c>
      <c r="E265" s="7">
        <f>SUMIF($C$2:$C$403,C265,$D$2:$D$403)</f>
        <v>0.00580935219651207</v>
      </c>
      <c r="F265" s="5">
        <f t="shared" si="8"/>
        <v>0</v>
      </c>
      <c r="G265">
        <f t="shared" si="9"/>
        <v>0</v>
      </c>
    </row>
    <row r="266" spans="1:7">
      <c r="A266" t="s">
        <v>589</v>
      </c>
      <c r="B266">
        <v>3027330</v>
      </c>
      <c r="C266" t="s">
        <v>602</v>
      </c>
      <c r="D266" s="5">
        <f t="shared" si="10"/>
        <v>0.00984539337461058</v>
      </c>
      <c r="E266" s="7">
        <f>SUMIF($C$2:$C$403,C266,$D$2:$D$403)</f>
        <v>0.00984539337461058</v>
      </c>
      <c r="F266" s="5">
        <f t="shared" si="8"/>
        <v>0</v>
      </c>
      <c r="G266">
        <f t="shared" si="9"/>
        <v>0</v>
      </c>
    </row>
    <row r="267" spans="1:7">
      <c r="A267" t="s">
        <v>603</v>
      </c>
      <c r="B267">
        <v>1417531</v>
      </c>
      <c r="C267" t="s">
        <v>299</v>
      </c>
      <c r="D267" s="5">
        <f t="shared" si="10"/>
        <v>0.00461005252671665</v>
      </c>
      <c r="E267" s="7">
        <f>SUMIF($C$2:$C$403,C267,$D$2:$D$403)</f>
        <v>0.00461005252671665</v>
      </c>
      <c r="F267" s="5">
        <f t="shared" si="8"/>
        <v>0</v>
      </c>
      <c r="G267">
        <f t="shared" si="9"/>
        <v>0</v>
      </c>
    </row>
    <row r="268" spans="1:7">
      <c r="A268" t="s">
        <v>499</v>
      </c>
      <c r="B268">
        <v>1789752</v>
      </c>
      <c r="C268" t="s">
        <v>703</v>
      </c>
      <c r="D268" s="5">
        <f t="shared" si="10"/>
        <v>0.0058205786891406</v>
      </c>
      <c r="E268" s="7">
        <f>SUMIF($C$2:$C$403,C268,$D$2:$D$403)</f>
        <v>0.0058205786891406</v>
      </c>
      <c r="F268" s="5">
        <f t="shared" si="8"/>
        <v>0</v>
      </c>
      <c r="G268">
        <f t="shared" si="9"/>
        <v>0</v>
      </c>
    </row>
    <row r="269" spans="1:7">
      <c r="A269" t="s">
        <v>629</v>
      </c>
      <c r="B269">
        <v>1499898</v>
      </c>
      <c r="C269" t="s">
        <v>628</v>
      </c>
      <c r="D269" s="5">
        <f t="shared" si="10"/>
        <v>0.00487792405578237</v>
      </c>
      <c r="E269" s="7">
        <f>SUMIF($C$2:$C$403,C269,$D$2:$D$403)</f>
        <v>0.00487792405578237</v>
      </c>
      <c r="F269" s="5">
        <f t="shared" si="8"/>
        <v>0</v>
      </c>
      <c r="G269">
        <f t="shared" si="9"/>
        <v>0</v>
      </c>
    </row>
    <row r="270" spans="1:7">
      <c r="A270" t="s">
        <v>423</v>
      </c>
      <c r="B270">
        <v>2420704</v>
      </c>
      <c r="C270" t="s">
        <v>422</v>
      </c>
      <c r="D270" s="5">
        <f t="shared" si="10"/>
        <v>0.00787254218188744</v>
      </c>
      <c r="E270" s="7">
        <f>SUMIF($C$2:$C$403,C270,$D$2:$D$403)</f>
        <v>0.00787254218188744</v>
      </c>
      <c r="F270" s="5">
        <f t="shared" si="8"/>
        <v>0</v>
      </c>
      <c r="G270">
        <f t="shared" si="9"/>
        <v>0</v>
      </c>
    </row>
    <row r="271" spans="1:7">
      <c r="A271" t="s">
        <v>543</v>
      </c>
      <c r="B271">
        <v>1506961</v>
      </c>
      <c r="C271" t="s">
        <v>544</v>
      </c>
      <c r="D271" s="5">
        <f t="shared" si="10"/>
        <v>0.00490089413615183</v>
      </c>
      <c r="E271" s="7">
        <f>SUMIF($C$2:$C$403,C271,$D$2:$D$403)</f>
        <v>0.00490089413615183</v>
      </c>
      <c r="F271" s="5">
        <f t="shared" si="8"/>
        <v>0</v>
      </c>
      <c r="G271">
        <f t="shared" si="9"/>
        <v>0</v>
      </c>
    </row>
    <row r="272" spans="1:7">
      <c r="A272" t="s">
        <v>533</v>
      </c>
      <c r="B272">
        <v>1086669</v>
      </c>
      <c r="C272" t="s">
        <v>534</v>
      </c>
      <c r="D272" s="5">
        <f t="shared" si="10"/>
        <v>0.00353403288475148</v>
      </c>
      <c r="E272" s="7">
        <f>SUMIF($C$2:$C$403,C272,$D$2:$D$403)</f>
        <v>0.00353403288475148</v>
      </c>
      <c r="F272" s="5">
        <f t="shared" si="8"/>
        <v>0</v>
      </c>
      <c r="G272">
        <f t="shared" si="9"/>
        <v>0</v>
      </c>
    </row>
    <row r="273" spans="1:7">
      <c r="A273" t="s">
        <v>605</v>
      </c>
      <c r="B273">
        <v>1019414</v>
      </c>
      <c r="C273" t="s">
        <v>22</v>
      </c>
      <c r="D273" s="5">
        <f t="shared" si="10"/>
        <v>0.00331530815655553</v>
      </c>
      <c r="E273" s="7">
        <f>SUMIF($C$2:$C$403,C273,$D$2:$D$403)</f>
        <v>0.00331530815655553</v>
      </c>
      <c r="F273" s="5">
        <f t="shared" si="8"/>
        <v>0</v>
      </c>
      <c r="G273">
        <f t="shared" si="9"/>
        <v>0</v>
      </c>
    </row>
    <row r="274" spans="1:7">
      <c r="A274" t="s">
        <v>457</v>
      </c>
      <c r="B274">
        <v>2233833</v>
      </c>
      <c r="C274" t="s">
        <v>460</v>
      </c>
      <c r="D274" s="5">
        <f t="shared" si="10"/>
        <v>0.00726480582499644</v>
      </c>
      <c r="E274" s="7">
        <f>SUMIF($C$2:$C$403,C274,$D$2:$D$403)</f>
        <v>0.00726480582499644</v>
      </c>
      <c r="F274" s="5">
        <f t="shared" si="8"/>
        <v>0</v>
      </c>
      <c r="G274">
        <f t="shared" si="9"/>
        <v>0</v>
      </c>
    </row>
    <row r="275" spans="1:7">
      <c r="A275" t="s">
        <v>391</v>
      </c>
      <c r="B275">
        <v>1833141</v>
      </c>
      <c r="C275" t="s">
        <v>281</v>
      </c>
      <c r="D275" s="5">
        <f t="shared" si="10"/>
        <v>0.00596168711575118</v>
      </c>
      <c r="E275" s="7">
        <f>SUMIF($C$2:$C$403,C275,$D$2:$D$403)</f>
        <v>0.00596168711575118</v>
      </c>
      <c r="F275" s="5">
        <f t="shared" si="8"/>
        <v>0</v>
      </c>
      <c r="G275">
        <f t="shared" si="9"/>
        <v>0</v>
      </c>
    </row>
    <row r="276" spans="1:7">
      <c r="A276" t="s">
        <v>609</v>
      </c>
      <c r="B276">
        <v>2165222</v>
      </c>
      <c r="C276" t="s">
        <v>588</v>
      </c>
      <c r="D276" s="5">
        <f t="shared" si="10"/>
        <v>0.00704167115357792</v>
      </c>
      <c r="E276" s="7">
        <f>SUMIF($C$2:$C$403,C276,$D$2:$D$403)</f>
        <v>0.00704167115357792</v>
      </c>
      <c r="F276" s="5">
        <f t="shared" si="8"/>
        <v>0</v>
      </c>
      <c r="G276">
        <f t="shared" si="9"/>
        <v>0</v>
      </c>
    </row>
    <row r="277" spans="1:7">
      <c r="A277" t="s">
        <v>667</v>
      </c>
      <c r="B277">
        <v>1726585</v>
      </c>
      <c r="C277" t="s">
        <v>416</v>
      </c>
      <c r="D277" s="5">
        <f t="shared" si="10"/>
        <v>0.00561514883402272</v>
      </c>
      <c r="E277" s="7">
        <f>SUMIF($C$2:$C$403,C277,$D$2:$D$403)</f>
        <v>0.00561514883402272</v>
      </c>
      <c r="F277" s="5">
        <f t="shared" si="8"/>
        <v>0</v>
      </c>
      <c r="G277">
        <f t="shared" si="9"/>
        <v>0</v>
      </c>
    </row>
    <row r="278" spans="1:7">
      <c r="A278" t="s">
        <v>75</v>
      </c>
      <c r="B278">
        <v>1351257</v>
      </c>
      <c r="C278" t="s">
        <v>596</v>
      </c>
      <c r="D278" s="5">
        <f t="shared" si="10"/>
        <v>0.00439451817779897</v>
      </c>
      <c r="E278" s="7">
        <f>SUMIF($C$2:$C$403,C278,$D$2:$D$403)</f>
        <v>0.00439451817779897</v>
      </c>
      <c r="F278" s="5">
        <f t="shared" si="8"/>
        <v>0</v>
      </c>
      <c r="G278">
        <f t="shared" si="9"/>
        <v>0</v>
      </c>
    </row>
    <row r="279" spans="1:7">
      <c r="A279" t="s">
        <v>637</v>
      </c>
      <c r="B279">
        <v>1101740</v>
      </c>
      <c r="C279" t="s">
        <v>638</v>
      </c>
      <c r="D279" s="5">
        <f t="shared" si="10"/>
        <v>0.00358304634663002</v>
      </c>
      <c r="E279" s="7">
        <f>SUMIF($C$2:$C$403,C279,$D$2:$D$403)</f>
        <v>0.00358304634663002</v>
      </c>
      <c r="F279" s="5">
        <f t="shared" si="8"/>
        <v>0</v>
      </c>
      <c r="G279">
        <f t="shared" si="9"/>
        <v>0</v>
      </c>
    </row>
    <row r="280" spans="1:7">
      <c r="A280" t="s">
        <v>635</v>
      </c>
      <c r="B280">
        <v>1047274</v>
      </c>
      <c r="C280" t="s">
        <v>704</v>
      </c>
      <c r="D280" s="5">
        <f t="shared" si="10"/>
        <v>0.00340591362719027</v>
      </c>
      <c r="E280" s="7">
        <f>SUMIF($C$2:$C$403,C280,$D$2:$D$403)</f>
        <v>0.00340591362719027</v>
      </c>
      <c r="F280" s="5">
        <f t="shared" si="8"/>
        <v>0</v>
      </c>
      <c r="G280">
        <f t="shared" si="9"/>
        <v>0</v>
      </c>
    </row>
    <row r="281" spans="1:7">
      <c r="A281" t="s">
        <v>210</v>
      </c>
      <c r="B281">
        <v>1561129</v>
      </c>
      <c r="C281" t="s">
        <v>604</v>
      </c>
      <c r="D281" s="5">
        <f t="shared" si="10"/>
        <v>0.00507705770877718</v>
      </c>
      <c r="E281" s="7">
        <f>SUMIF($C$2:$C$403,C281,$D$2:$D$403)</f>
        <v>0.00507705770877718</v>
      </c>
      <c r="F281" s="5">
        <f t="shared" si="8"/>
        <v>0</v>
      </c>
      <c r="G281">
        <f t="shared" si="9"/>
        <v>0</v>
      </c>
    </row>
    <row r="282" spans="1:7">
      <c r="A282" t="s">
        <v>365</v>
      </c>
      <c r="B282">
        <v>1328261</v>
      </c>
      <c r="C282" t="s">
        <v>49</v>
      </c>
      <c r="D282" s="5">
        <f t="shared" si="10"/>
        <v>0.00431973126456436</v>
      </c>
      <c r="E282" s="7">
        <f>SUMIF($C$2:$C$403,C282,$D$2:$D$403)</f>
        <v>0.00431973126456436</v>
      </c>
      <c r="F282" s="5">
        <f t="shared" si="8"/>
        <v>0</v>
      </c>
      <c r="G282">
        <f t="shared" si="9"/>
        <v>0</v>
      </c>
    </row>
    <row r="283" spans="1:7">
      <c r="A283" t="s">
        <v>615</v>
      </c>
      <c r="B283">
        <v>845164</v>
      </c>
      <c r="C283" t="s">
        <v>31</v>
      </c>
      <c r="D283" s="5">
        <f t="shared" si="10"/>
        <v>0.00274861744377368</v>
      </c>
      <c r="E283" s="7">
        <f>SUMIF($C$2:$C$403,C283,$D$2:$D$403)</f>
        <v>0.00274861744377368</v>
      </c>
      <c r="F283" s="5">
        <f t="shared" si="8"/>
        <v>0</v>
      </c>
      <c r="G283">
        <f t="shared" si="9"/>
        <v>0</v>
      </c>
    </row>
    <row r="284" spans="1:7">
      <c r="A284" t="s">
        <v>563</v>
      </c>
      <c r="B284">
        <v>1915764</v>
      </c>
      <c r="C284" t="s">
        <v>578</v>
      </c>
      <c r="D284" s="5">
        <f t="shared" si="10"/>
        <v>0.00623039120046954</v>
      </c>
      <c r="E284" s="7">
        <f>SUMIF($C$2:$C$403,C284,$D$2:$D$403)</f>
        <v>0.00623039120046954</v>
      </c>
      <c r="F284" s="5">
        <f t="shared" si="8"/>
        <v>0</v>
      </c>
      <c r="G284">
        <f t="shared" si="9"/>
        <v>0</v>
      </c>
    </row>
    <row r="285" spans="1:7">
      <c r="A285" t="s">
        <v>561</v>
      </c>
      <c r="B285">
        <v>1320820</v>
      </c>
      <c r="C285" t="s">
        <v>564</v>
      </c>
      <c r="D285" s="5">
        <f t="shared" si="10"/>
        <v>0.00429553186373905</v>
      </c>
      <c r="E285" s="7">
        <f>SUMIF($C$2:$C$403,C285,$D$2:$D$403)</f>
        <v>0.00429553186373905</v>
      </c>
      <c r="F285" s="5">
        <f t="shared" si="8"/>
        <v>0</v>
      </c>
      <c r="G285">
        <f t="shared" si="9"/>
        <v>0</v>
      </c>
    </row>
    <row r="286" spans="1:7">
      <c r="A286" t="s">
        <v>419</v>
      </c>
      <c r="B286">
        <v>923950</v>
      </c>
      <c r="C286" t="s">
        <v>61</v>
      </c>
      <c r="D286" s="5">
        <f t="shared" si="10"/>
        <v>0.00300484295021403</v>
      </c>
      <c r="E286" s="7">
        <f>SUMIF($C$2:$C$403,C286,$D$2:$D$403)</f>
        <v>0.00300484295021403</v>
      </c>
      <c r="F286" s="5">
        <f t="shared" si="8"/>
        <v>0</v>
      </c>
      <c r="G286">
        <f t="shared" si="9"/>
        <v>0</v>
      </c>
    </row>
    <row r="287" spans="1:7">
      <c r="A287" t="s">
        <v>367</v>
      </c>
      <c r="B287">
        <v>1097420</v>
      </c>
      <c r="C287" t="s">
        <v>690</v>
      </c>
      <c r="D287" s="5">
        <f t="shared" si="10"/>
        <v>0.00356899696999175</v>
      </c>
      <c r="E287" s="7">
        <f>SUMIF($C$2:$C$403,C287,$D$2:$D$403)</f>
        <v>0.00356899696999175</v>
      </c>
      <c r="F287" s="5">
        <f t="shared" si="8"/>
        <v>0</v>
      </c>
      <c r="G287">
        <f t="shared" si="9"/>
        <v>0</v>
      </c>
    </row>
    <row r="288" spans="1:7">
      <c r="A288" t="s">
        <v>691</v>
      </c>
      <c r="B288">
        <v>1619391</v>
      </c>
      <c r="C288" t="s">
        <v>111</v>
      </c>
      <c r="D288" s="5">
        <f t="shared" si="10"/>
        <v>0.00526653566750371</v>
      </c>
      <c r="E288" s="7">
        <f>SUMIF($C$2:$C$403,C288,$D$2:$D$403)</f>
        <v>0.00526653566750371</v>
      </c>
      <c r="F288" s="5">
        <f t="shared" si="8"/>
        <v>0</v>
      </c>
      <c r="G288">
        <f t="shared" si="9"/>
        <v>0</v>
      </c>
    </row>
    <row r="289" spans="1:7">
      <c r="A289" t="s">
        <v>461</v>
      </c>
      <c r="B289">
        <v>697367</v>
      </c>
      <c r="C289" t="s">
        <v>462</v>
      </c>
      <c r="D289" s="5">
        <f t="shared" si="10"/>
        <v>0.00226795639770757</v>
      </c>
      <c r="E289" s="7">
        <f>SUMIF($C$2:$C$403,C289,$D$2:$D$403)</f>
        <v>0.00226795639770757</v>
      </c>
      <c r="F289" s="5">
        <f t="shared" si="8"/>
        <v>0</v>
      </c>
      <c r="G289">
        <f t="shared" si="9"/>
        <v>0</v>
      </c>
    </row>
    <row r="290" spans="1:7">
      <c r="A290" t="s">
        <v>431</v>
      </c>
      <c r="B290">
        <v>1114173</v>
      </c>
      <c r="C290" t="s">
        <v>432</v>
      </c>
      <c r="D290" s="5">
        <f t="shared" si="10"/>
        <v>0.00362348058268177</v>
      </c>
      <c r="E290" s="7">
        <f>SUMIF($C$2:$C$403,C290,$D$2:$D$403)</f>
        <v>0.00362348058268177</v>
      </c>
      <c r="F290" s="5">
        <f t="shared" si="8"/>
        <v>0</v>
      </c>
      <c r="G290">
        <f t="shared" si="9"/>
        <v>0</v>
      </c>
    </row>
    <row r="291" spans="1:7">
      <c r="A291" t="s">
        <v>607</v>
      </c>
      <c r="B291">
        <v>1697685</v>
      </c>
      <c r="C291" t="s">
        <v>344</v>
      </c>
      <c r="D291" s="5">
        <f t="shared" si="10"/>
        <v>0.00552116110604914</v>
      </c>
      <c r="E291" s="7">
        <f>SUMIF($C$2:$C$403,C291,$D$2:$D$403)</f>
        <v>0.00552116110604914</v>
      </c>
      <c r="F291" s="5">
        <f t="shared" si="8"/>
        <v>0</v>
      </c>
      <c r="G291">
        <f t="shared" si="9"/>
        <v>0</v>
      </c>
    </row>
    <row r="292" spans="1:7">
      <c r="A292" t="s">
        <v>539</v>
      </c>
      <c r="B292">
        <v>1150062</v>
      </c>
      <c r="C292" t="s">
        <v>540</v>
      </c>
      <c r="D292" s="5">
        <f t="shared" si="10"/>
        <v>0.00374019773040646</v>
      </c>
      <c r="E292" s="7">
        <f>SUMIF($C$2:$C$403,C292,$D$2:$D$403)</f>
        <v>0.00374019773040646</v>
      </c>
      <c r="F292" s="5">
        <f t="shared" si="8"/>
        <v>0</v>
      </c>
      <c r="G292">
        <f t="shared" si="9"/>
        <v>0</v>
      </c>
    </row>
    <row r="293" spans="1:7">
      <c r="A293" t="s">
        <v>523</v>
      </c>
      <c r="B293">
        <v>636664</v>
      </c>
      <c r="C293" t="s">
        <v>524</v>
      </c>
      <c r="D293" s="5">
        <f t="shared" si="10"/>
        <v>0.00207053989074632</v>
      </c>
      <c r="E293" s="7">
        <f>SUMIF($C$2:$C$403,C293,$D$2:$D$403)</f>
        <v>0.00207053989074632</v>
      </c>
      <c r="F293" s="5">
        <f t="shared" si="8"/>
        <v>0</v>
      </c>
      <c r="G293">
        <f t="shared" si="9"/>
        <v>0</v>
      </c>
    </row>
    <row r="294" spans="1:7">
      <c r="A294" t="s">
        <v>597</v>
      </c>
      <c r="B294">
        <v>931711</v>
      </c>
      <c r="C294" t="s">
        <v>53</v>
      </c>
      <c r="D294" s="5">
        <f t="shared" si="10"/>
        <v>0.00303008304560513</v>
      </c>
      <c r="E294" s="7">
        <f>SUMIF($C$2:$C$403,C294,$D$2:$D$403)</f>
        <v>0.00303008304560513</v>
      </c>
      <c r="F294" s="5">
        <f t="shared" si="8"/>
        <v>0</v>
      </c>
      <c r="G294">
        <f t="shared" si="9"/>
        <v>0</v>
      </c>
    </row>
    <row r="295" spans="1:7">
      <c r="A295" t="s">
        <v>659</v>
      </c>
      <c r="B295">
        <v>1149626</v>
      </c>
      <c r="C295" t="s">
        <v>404</v>
      </c>
      <c r="D295" s="5">
        <f t="shared" si="10"/>
        <v>0.00373877978406056</v>
      </c>
      <c r="E295" s="7">
        <f>SUMIF($C$2:$C$403,C295,$D$2:$D$403)</f>
        <v>0.00373877978406056</v>
      </c>
      <c r="F295" s="5">
        <f t="shared" si="8"/>
        <v>0</v>
      </c>
      <c r="G295">
        <f t="shared" si="9"/>
        <v>0</v>
      </c>
    </row>
    <row r="296" spans="1:7">
      <c r="A296" t="s">
        <v>401</v>
      </c>
      <c r="B296">
        <v>495085</v>
      </c>
      <c r="C296" t="s">
        <v>530</v>
      </c>
      <c r="D296" s="5">
        <f t="shared" si="10"/>
        <v>0.00161010084096186</v>
      </c>
      <c r="E296" s="7">
        <f>SUMIF($C$2:$C$403,C296,$D$2:$D$403)</f>
        <v>0.00161010084096186</v>
      </c>
      <c r="F296" s="5">
        <f t="shared" si="8"/>
        <v>0</v>
      </c>
      <c r="G296">
        <f t="shared" si="9"/>
        <v>0</v>
      </c>
    </row>
    <row r="297" spans="1:7">
      <c r="A297" t="s">
        <v>190</v>
      </c>
      <c r="B297">
        <v>1012511</v>
      </c>
      <c r="C297" t="s">
        <v>372</v>
      </c>
      <c r="D297" s="5">
        <f t="shared" si="10"/>
        <v>0.00329285842346897</v>
      </c>
      <c r="E297" s="7">
        <f>SUMIF($C$2:$C$403,C297,$D$2:$D$403)</f>
        <v>0.00329285842346897</v>
      </c>
      <c r="F297" s="5">
        <f t="shared" si="8"/>
        <v>0</v>
      </c>
      <c r="G297">
        <f t="shared" si="9"/>
        <v>0</v>
      </c>
    </row>
    <row r="298" spans="1:7">
      <c r="A298" t="s">
        <v>337</v>
      </c>
      <c r="B298">
        <v>2063177</v>
      </c>
      <c r="C298" t="s">
        <v>552</v>
      </c>
      <c r="D298" s="5">
        <f t="shared" si="10"/>
        <v>0.00670980341305669</v>
      </c>
      <c r="E298" s="7">
        <f>SUMIF($C$2:$C$403,C298,$D$2:$D$403)</f>
        <v>0.00670980341305669</v>
      </c>
      <c r="F298" s="5">
        <f t="shared" si="8"/>
        <v>0</v>
      </c>
      <c r="G298">
        <f t="shared" si="9"/>
        <v>0</v>
      </c>
    </row>
    <row r="299" spans="1:7">
      <c r="A299" t="s">
        <v>357</v>
      </c>
      <c r="B299">
        <v>988004</v>
      </c>
      <c r="C299" t="s">
        <v>81</v>
      </c>
      <c r="D299" s="5">
        <f t="shared" si="10"/>
        <v>0.00321315748058149</v>
      </c>
      <c r="E299" s="7">
        <f>SUMIF($C$2:$C$403,C299,$D$2:$D$403)</f>
        <v>0.00321315748058149</v>
      </c>
      <c r="F299" s="5">
        <f t="shared" si="8"/>
        <v>0</v>
      </c>
      <c r="G299">
        <f t="shared" si="9"/>
        <v>0</v>
      </c>
    </row>
    <row r="300" spans="1:7">
      <c r="A300" t="s">
        <v>513</v>
      </c>
      <c r="B300">
        <v>3261442</v>
      </c>
      <c r="C300" t="s">
        <v>514</v>
      </c>
      <c r="D300" s="5">
        <f t="shared" si="10"/>
        <v>0.0106067655189479</v>
      </c>
      <c r="E300" s="7">
        <f>SUMIF($C$2:$C$403,C300,$D$2:$D$403)</f>
        <v>0.0106067655189479</v>
      </c>
      <c r="F300" s="5">
        <f t="shared" si="8"/>
        <v>0</v>
      </c>
      <c r="G300">
        <f t="shared" si="9"/>
        <v>0</v>
      </c>
    </row>
    <row r="301" spans="1:7">
      <c r="A301" t="s">
        <v>627</v>
      </c>
      <c r="B301">
        <v>1011614</v>
      </c>
      <c r="C301" t="s">
        <v>624</v>
      </c>
      <c r="D301" s="5">
        <f t="shared" si="10"/>
        <v>0.00328994122651422</v>
      </c>
      <c r="E301" s="7">
        <f>SUMIF($C$2:$C$403,C301,$D$2:$D$403)</f>
        <v>0.00328994122651422</v>
      </c>
      <c r="F301" s="5">
        <f t="shared" si="8"/>
        <v>0</v>
      </c>
      <c r="G301">
        <f t="shared" si="9"/>
        <v>0</v>
      </c>
    </row>
    <row r="302" spans="1:7">
      <c r="A302" t="s">
        <v>389</v>
      </c>
      <c r="B302">
        <v>759234</v>
      </c>
      <c r="C302" t="s">
        <v>502</v>
      </c>
      <c r="D302" s="5">
        <f t="shared" si="10"/>
        <v>0.0024691584311519</v>
      </c>
      <c r="E302" s="7">
        <f>SUMIF($C$2:$C$403,C302,$D$2:$D$403)</f>
        <v>0.0024691584311519</v>
      </c>
      <c r="F302" s="5">
        <f t="shared" si="8"/>
        <v>0</v>
      </c>
      <c r="G302">
        <f t="shared" si="9"/>
        <v>0</v>
      </c>
    </row>
    <row r="303" spans="1:7">
      <c r="A303" t="s">
        <v>559</v>
      </c>
      <c r="B303">
        <v>1108690</v>
      </c>
      <c r="C303" t="s">
        <v>560</v>
      </c>
      <c r="D303" s="5">
        <f t="shared" si="10"/>
        <v>0.00360564893173093</v>
      </c>
      <c r="E303" s="7">
        <f>SUMIF($C$2:$C$403,C303,$D$2:$D$403)</f>
        <v>0.00360564893173093</v>
      </c>
      <c r="F303" s="5">
        <f t="shared" si="8"/>
        <v>0</v>
      </c>
      <c r="G303">
        <f t="shared" si="9"/>
        <v>0</v>
      </c>
    </row>
    <row r="304" spans="1:7">
      <c r="A304" t="s">
        <v>645</v>
      </c>
      <c r="B304">
        <v>989176</v>
      </c>
      <c r="C304" t="s">
        <v>646</v>
      </c>
      <c r="D304" s="5">
        <f t="shared" si="10"/>
        <v>0.00321696902442872</v>
      </c>
      <c r="E304" s="7">
        <f>SUMIF($C$2:$C$403,C304,$D$2:$D$403)</f>
        <v>0.00321696902442872</v>
      </c>
      <c r="F304" s="5">
        <f t="shared" si="8"/>
        <v>0</v>
      </c>
      <c r="G304">
        <f t="shared" si="9"/>
        <v>0</v>
      </c>
    </row>
    <row r="305" spans="1:7">
      <c r="A305" t="s">
        <v>341</v>
      </c>
      <c r="B305">
        <v>1165941</v>
      </c>
      <c r="C305" t="s">
        <v>103</v>
      </c>
      <c r="D305" s="5">
        <f t="shared" si="10"/>
        <v>0.00379183894606364</v>
      </c>
      <c r="E305" s="7">
        <f>SUMIF($C$2:$C$403,C305,$D$2:$D$403)</f>
        <v>0.00379183894606364</v>
      </c>
      <c r="F305" s="5">
        <f t="shared" si="8"/>
        <v>0</v>
      </c>
      <c r="G305">
        <f t="shared" si="9"/>
        <v>0</v>
      </c>
    </row>
    <row r="306" spans="1:7">
      <c r="A306" t="s">
        <v>665</v>
      </c>
      <c r="B306">
        <v>638433</v>
      </c>
      <c r="C306" t="s">
        <v>400</v>
      </c>
      <c r="D306" s="5">
        <f t="shared" si="10"/>
        <v>0.00207629298039287</v>
      </c>
      <c r="E306" s="7">
        <f>SUMIF($C$2:$C$403,C306,$D$2:$D$403)</f>
        <v>0.00207629298039287</v>
      </c>
      <c r="F306" s="5">
        <f t="shared" si="8"/>
        <v>0</v>
      </c>
      <c r="G306">
        <f t="shared" si="9"/>
        <v>0</v>
      </c>
    </row>
    <row r="307" spans="1:7">
      <c r="A307" t="s">
        <v>639</v>
      </c>
      <c r="B307">
        <v>935706</v>
      </c>
      <c r="C307" t="s">
        <v>642</v>
      </c>
      <c r="D307" s="5">
        <f t="shared" si="10"/>
        <v>0.00304307546682501</v>
      </c>
      <c r="E307" s="7">
        <f>SUMIF($C$2:$C$403,C307,$D$2:$D$403)</f>
        <v>0.00304307546682501</v>
      </c>
      <c r="F307" s="5">
        <f t="shared" si="8"/>
        <v>0</v>
      </c>
      <c r="G307">
        <f t="shared" si="9"/>
        <v>0</v>
      </c>
    </row>
    <row r="308" spans="1:7">
      <c r="A308" t="s">
        <v>225</v>
      </c>
      <c r="B308">
        <v>1655594</v>
      </c>
      <c r="C308" t="s">
        <v>594</v>
      </c>
      <c r="D308" s="5">
        <f t="shared" si="10"/>
        <v>0.00538427399677109</v>
      </c>
      <c r="E308" s="7">
        <f>SUMIF($C$2:$C$403,C308,$D$2:$D$403)</f>
        <v>0.00538427399677109</v>
      </c>
      <c r="F308" s="5">
        <f t="shared" si="8"/>
        <v>0</v>
      </c>
      <c r="G308">
        <f t="shared" si="9"/>
        <v>0</v>
      </c>
    </row>
    <row r="309" spans="1:7">
      <c r="A309" t="s">
        <v>340</v>
      </c>
      <c r="B309">
        <v>1763259</v>
      </c>
      <c r="C309" t="s">
        <v>253</v>
      </c>
      <c r="D309" s="5">
        <f t="shared" si="10"/>
        <v>0.00573441893560414</v>
      </c>
      <c r="E309" s="7">
        <f>SUMIF($C$2:$C$403,C309,$D$2:$D$403)</f>
        <v>0.00573441893560414</v>
      </c>
      <c r="F309" s="5">
        <f t="shared" si="8"/>
        <v>0</v>
      </c>
      <c r="G309">
        <f t="shared" si="9"/>
        <v>0</v>
      </c>
    </row>
    <row r="310" spans="1:7">
      <c r="A310" t="s">
        <v>433</v>
      </c>
      <c r="B310">
        <v>786771</v>
      </c>
      <c r="C310" t="s">
        <v>434</v>
      </c>
      <c r="D310" s="5">
        <f t="shared" si="10"/>
        <v>0.00255871345070928</v>
      </c>
      <c r="E310" s="7">
        <f>SUMIF($C$2:$C$403,C310,$D$2:$D$403)</f>
        <v>0.00255871345070928</v>
      </c>
      <c r="F310" s="5">
        <f t="shared" si="8"/>
        <v>0</v>
      </c>
      <c r="G310">
        <f t="shared" si="9"/>
        <v>0</v>
      </c>
    </row>
    <row r="311" spans="1:7">
      <c r="A311" t="s">
        <v>417</v>
      </c>
      <c r="B311">
        <v>884245</v>
      </c>
      <c r="C311" t="s">
        <v>418</v>
      </c>
      <c r="D311" s="5">
        <f t="shared" si="10"/>
        <v>0.0028757155197922</v>
      </c>
      <c r="E311" s="7">
        <f>SUMIF($C$2:$C$403,C311,$D$2:$D$403)</f>
        <v>0.0028757155197922</v>
      </c>
      <c r="F311" s="5">
        <f t="shared" si="8"/>
        <v>0</v>
      </c>
      <c r="G311">
        <f t="shared" si="9"/>
        <v>0</v>
      </c>
    </row>
    <row r="312" spans="1:7">
      <c r="A312" t="s">
        <v>519</v>
      </c>
      <c r="B312">
        <v>1124509</v>
      </c>
      <c r="C312" t="s">
        <v>181</v>
      </c>
      <c r="D312" s="5">
        <f t="shared" si="10"/>
        <v>0.00365709501715702</v>
      </c>
      <c r="E312" s="7">
        <f>SUMIF($C$2:$C$403,C312,$D$2:$D$403)</f>
        <v>0.00365709501715702</v>
      </c>
      <c r="F312" s="5">
        <f t="shared" si="8"/>
        <v>0</v>
      </c>
      <c r="G312">
        <f t="shared" si="9"/>
        <v>0</v>
      </c>
    </row>
    <row r="313" spans="1:7">
      <c r="A313" t="s">
        <v>517</v>
      </c>
      <c r="B313">
        <v>654728</v>
      </c>
      <c r="C313" t="s">
        <v>518</v>
      </c>
      <c r="D313" s="5">
        <f t="shared" si="10"/>
        <v>0.00212928709898559</v>
      </c>
      <c r="E313" s="7">
        <f>SUMIF($C$2:$C$403,C313,$D$2:$D$403)</f>
        <v>0.00212928709898559</v>
      </c>
      <c r="F313" s="5">
        <f t="shared" si="8"/>
        <v>0</v>
      </c>
      <c r="G313">
        <f t="shared" si="9"/>
        <v>0</v>
      </c>
    </row>
    <row r="314" spans="1:7">
      <c r="A314" t="s">
        <v>373</v>
      </c>
      <c r="B314">
        <v>787533</v>
      </c>
      <c r="C314" t="s">
        <v>705</v>
      </c>
      <c r="D314" s="5">
        <f t="shared" si="10"/>
        <v>0.00256119160464409</v>
      </c>
      <c r="E314" s="7">
        <f>SUMIF($C$2:$C$403,C314,$D$2:$D$403)</f>
        <v>0.00256119160464409</v>
      </c>
      <c r="F314" s="5">
        <f t="shared" si="8"/>
        <v>0</v>
      </c>
      <c r="G314">
        <f t="shared" si="9"/>
        <v>0</v>
      </c>
    </row>
    <row r="315" spans="1:7">
      <c r="A315" t="s">
        <v>381</v>
      </c>
      <c r="B315">
        <v>361985</v>
      </c>
      <c r="C315" t="s">
        <v>105</v>
      </c>
      <c r="D315" s="5">
        <f t="shared" si="10"/>
        <v>0.00117723694500052</v>
      </c>
      <c r="E315" s="7">
        <f>SUMIF($C$2:$C$403,C315,$D$2:$D$403)</f>
        <v>0.00117723694500052</v>
      </c>
      <c r="F315" s="5">
        <f t="shared" si="8"/>
        <v>0</v>
      </c>
      <c r="G315">
        <f t="shared" si="9"/>
        <v>0</v>
      </c>
    </row>
    <row r="316" spans="1:7">
      <c r="A316" t="s">
        <v>555</v>
      </c>
      <c r="B316">
        <v>470302</v>
      </c>
      <c r="C316" t="s">
        <v>706</v>
      </c>
      <c r="D316" s="5">
        <f t="shared" si="10"/>
        <v>0.00152950229901137</v>
      </c>
      <c r="E316" s="7">
        <f>SUMIF($C$2:$C$403,C316,$D$2:$D$403)</f>
        <v>0.00152950229901137</v>
      </c>
      <c r="F316" s="5">
        <f t="shared" si="8"/>
        <v>0</v>
      </c>
      <c r="G316">
        <f t="shared" si="9"/>
        <v>0</v>
      </c>
    </row>
    <row r="317" spans="1:7">
      <c r="A317" t="s">
        <v>593</v>
      </c>
      <c r="B317">
        <v>732059</v>
      </c>
      <c r="C317" t="s">
        <v>600</v>
      </c>
      <c r="D317" s="5">
        <f t="shared" si="10"/>
        <v>0.00238078069732208</v>
      </c>
      <c r="E317" s="7">
        <f>SUMIF($C$2:$C$403,C317,$D$2:$D$403)</f>
        <v>0.00238078069732208</v>
      </c>
      <c r="F317" s="5">
        <f t="shared" si="8"/>
        <v>0</v>
      </c>
      <c r="G317">
        <f t="shared" si="9"/>
        <v>0</v>
      </c>
    </row>
    <row r="318" spans="1:7">
      <c r="A318" t="s">
        <v>567</v>
      </c>
      <c r="B318">
        <v>1317037</v>
      </c>
      <c r="C318" t="s">
        <v>558</v>
      </c>
      <c r="D318" s="5">
        <f t="shared" si="10"/>
        <v>0.00428322890266902</v>
      </c>
      <c r="E318" s="7">
        <f>SUMIF($C$2:$C$403,C318,$D$2:$D$403)</f>
        <v>0.00428322890266902</v>
      </c>
      <c r="F318" s="5">
        <f t="shared" si="8"/>
        <v>0</v>
      </c>
      <c r="G318">
        <f t="shared" si="9"/>
        <v>0</v>
      </c>
    </row>
    <row r="319" spans="1:7">
      <c r="A319" t="s">
        <v>361</v>
      </c>
      <c r="B319">
        <v>809687</v>
      </c>
      <c r="C319" t="s">
        <v>688</v>
      </c>
      <c r="D319" s="5">
        <f t="shared" si="10"/>
        <v>0.00263324019030245</v>
      </c>
      <c r="E319" s="7">
        <f>SUMIF($C$2:$C$403,C319,$D$2:$D$403)</f>
        <v>0.00263324019030245</v>
      </c>
      <c r="F319" s="5">
        <f t="shared" si="8"/>
        <v>0</v>
      </c>
      <c r="G319">
        <f t="shared" si="9"/>
        <v>0</v>
      </c>
    </row>
    <row r="320" spans="1:7">
      <c r="A320" t="s">
        <v>529</v>
      </c>
      <c r="B320">
        <v>303688</v>
      </c>
      <c r="C320" t="s">
        <v>670</v>
      </c>
      <c r="D320" s="5">
        <f t="shared" si="10"/>
        <v>0.000987645160305859</v>
      </c>
      <c r="E320" s="7">
        <f>SUMIF($C$2:$C$403,C320,$D$2:$D$403)</f>
        <v>0.000987645160305859</v>
      </c>
      <c r="F320" s="5">
        <f t="shared" si="8"/>
        <v>0</v>
      </c>
      <c r="G320">
        <f t="shared" si="9"/>
        <v>0</v>
      </c>
    </row>
    <row r="321" spans="1:7">
      <c r="A321" t="s">
        <v>623</v>
      </c>
      <c r="B321">
        <v>493298</v>
      </c>
      <c r="C321" t="s">
        <v>707</v>
      </c>
      <c r="D321" s="5">
        <f t="shared" si="10"/>
        <v>0.00160428921224599</v>
      </c>
      <c r="E321" s="7">
        <f>SUMIF($C$2:$C$403,C321,$D$2:$D$403)</f>
        <v>0.00160428921224599</v>
      </c>
      <c r="F321" s="5">
        <f t="shared" si="8"/>
        <v>0</v>
      </c>
      <c r="G321">
        <f t="shared" si="9"/>
        <v>0</v>
      </c>
    </row>
    <row r="322" spans="1:7">
      <c r="A322" t="s">
        <v>467</v>
      </c>
      <c r="B322">
        <v>475659</v>
      </c>
      <c r="C322" t="s">
        <v>185</v>
      </c>
      <c r="D322" s="5">
        <f t="shared" si="10"/>
        <v>0.00154692417647693</v>
      </c>
      <c r="E322" s="7">
        <f>SUMIF($C$2:$C$403,C322,$D$2:$D$403)</f>
        <v>0.00154692417647693</v>
      </c>
      <c r="F322" s="5">
        <f t="shared" ref="F322:F385" si="11">E322-D322</f>
        <v>0</v>
      </c>
      <c r="G322">
        <f t="shared" ref="G322:G385" si="12">COUNTIF(C322:C722,C322)-1</f>
        <v>0</v>
      </c>
    </row>
    <row r="323" spans="1:7">
      <c r="A323" t="s">
        <v>449</v>
      </c>
      <c r="B323">
        <v>905985</v>
      </c>
      <c r="C323" t="s">
        <v>187</v>
      </c>
      <c r="D323" s="5">
        <f t="shared" ref="D323:D386" si="13">B323/SUM($B$2:$B$403)</f>
        <v>0.00294641770685606</v>
      </c>
      <c r="E323" s="7">
        <f>SUMIF($C$2:$C$403,C323,$D$2:$D$403)</f>
        <v>0.00294641770685606</v>
      </c>
      <c r="F323" s="5">
        <f t="shared" si="11"/>
        <v>0</v>
      </c>
      <c r="G323">
        <f t="shared" si="12"/>
        <v>0</v>
      </c>
    </row>
    <row r="324" spans="1:7">
      <c r="A324" t="s">
        <v>447</v>
      </c>
      <c r="B324">
        <v>653401</v>
      </c>
      <c r="C324" t="s">
        <v>458</v>
      </c>
      <c r="D324" s="5">
        <f t="shared" si="13"/>
        <v>0.00212497146870804</v>
      </c>
      <c r="E324" s="7">
        <f>SUMIF($C$2:$C$403,C324,$D$2:$D$403)</f>
        <v>0.00212497146870804</v>
      </c>
      <c r="F324" s="5">
        <f t="shared" si="11"/>
        <v>0</v>
      </c>
      <c r="G324">
        <f t="shared" si="12"/>
        <v>0</v>
      </c>
    </row>
    <row r="325" spans="1:7">
      <c r="A325" t="s">
        <v>673</v>
      </c>
      <c r="B325">
        <v>459239</v>
      </c>
      <c r="C325" t="s">
        <v>394</v>
      </c>
      <c r="D325" s="5">
        <f t="shared" si="13"/>
        <v>0.00149352353656945</v>
      </c>
      <c r="E325" s="7">
        <f>SUMIF($C$2:$C$403,C325,$D$2:$D$403)</f>
        <v>0.00149352353656945</v>
      </c>
      <c r="F325" s="5">
        <f t="shared" si="11"/>
        <v>0</v>
      </c>
      <c r="G325">
        <f t="shared" si="12"/>
        <v>0</v>
      </c>
    </row>
    <row r="326" spans="1:7">
      <c r="A326" t="s">
        <v>577</v>
      </c>
      <c r="B326">
        <v>1201137</v>
      </c>
      <c r="C326" t="s">
        <v>572</v>
      </c>
      <c r="D326" s="5">
        <f t="shared" si="13"/>
        <v>0.00390630233961928</v>
      </c>
      <c r="E326" s="7">
        <f>SUMIF($C$2:$C$403,C326,$D$2:$D$403)</f>
        <v>0.00390630233961928</v>
      </c>
      <c r="F326" s="5">
        <f t="shared" si="11"/>
        <v>0</v>
      </c>
      <c r="G326">
        <f t="shared" si="12"/>
        <v>0</v>
      </c>
    </row>
    <row r="327" spans="1:7">
      <c r="A327" t="s">
        <v>437</v>
      </c>
      <c r="B327">
        <v>1442442</v>
      </c>
      <c r="C327" t="s">
        <v>440</v>
      </c>
      <c r="D327" s="5">
        <f t="shared" si="13"/>
        <v>0.00469106734649345</v>
      </c>
      <c r="E327" s="7">
        <f>SUMIF($C$2:$C$403,C327,$D$2:$D$403)</f>
        <v>0.00469106734649345</v>
      </c>
      <c r="F327" s="5">
        <f t="shared" si="11"/>
        <v>0</v>
      </c>
      <c r="G327">
        <f t="shared" si="12"/>
        <v>0</v>
      </c>
    </row>
    <row r="328" spans="1:7">
      <c r="A328" t="s">
        <v>128</v>
      </c>
      <c r="B328">
        <v>444706</v>
      </c>
      <c r="C328" t="s">
        <v>614</v>
      </c>
      <c r="D328" s="5">
        <f t="shared" si="13"/>
        <v>0.00144625974242966</v>
      </c>
      <c r="E328" s="7">
        <f>SUMIF($C$2:$C$403,C328,$D$2:$D$403)</f>
        <v>0.00144625974242966</v>
      </c>
      <c r="F328" s="5">
        <f t="shared" si="11"/>
        <v>0</v>
      </c>
      <c r="G328">
        <f t="shared" si="12"/>
        <v>0</v>
      </c>
    </row>
    <row r="329" spans="1:7">
      <c r="A329" t="s">
        <v>355</v>
      </c>
      <c r="B329">
        <v>684007</v>
      </c>
      <c r="C329" t="s">
        <v>542</v>
      </c>
      <c r="D329" s="5">
        <f t="shared" si="13"/>
        <v>0.00222450739958553</v>
      </c>
      <c r="E329" s="7">
        <f>SUMIF($C$2:$C$403,C329,$D$2:$D$403)</f>
        <v>0.00222450739958553</v>
      </c>
      <c r="F329" s="5">
        <f t="shared" si="11"/>
        <v>0</v>
      </c>
      <c r="G329">
        <f t="shared" si="12"/>
        <v>0</v>
      </c>
    </row>
    <row r="330" spans="1:7">
      <c r="A330" t="s">
        <v>619</v>
      </c>
      <c r="B330">
        <v>998419</v>
      </c>
      <c r="C330" t="s">
        <v>143</v>
      </c>
      <c r="D330" s="5">
        <f t="shared" si="13"/>
        <v>0.00324702883652767</v>
      </c>
      <c r="E330" s="7">
        <f>SUMIF($C$2:$C$403,C330,$D$2:$D$403)</f>
        <v>0.00324702883652767</v>
      </c>
      <c r="F330" s="5">
        <f t="shared" si="11"/>
        <v>0</v>
      </c>
      <c r="G330">
        <f t="shared" si="12"/>
        <v>0</v>
      </c>
    </row>
    <row r="331" spans="1:7">
      <c r="A331" t="s">
        <v>621</v>
      </c>
      <c r="B331">
        <v>350632</v>
      </c>
      <c r="C331" t="s">
        <v>586</v>
      </c>
      <c r="D331" s="5">
        <f t="shared" si="13"/>
        <v>0.00114031505310833</v>
      </c>
      <c r="E331" s="7">
        <f>SUMIF($C$2:$C$403,C331,$D$2:$D$403)</f>
        <v>0.00114031505310833</v>
      </c>
      <c r="F331" s="5">
        <f t="shared" si="11"/>
        <v>0</v>
      </c>
      <c r="G331">
        <f t="shared" si="12"/>
        <v>0</v>
      </c>
    </row>
    <row r="332" spans="1:7">
      <c r="A332" t="s">
        <v>302</v>
      </c>
      <c r="B332">
        <v>962435</v>
      </c>
      <c r="C332" t="s">
        <v>546</v>
      </c>
      <c r="D332" s="5">
        <f t="shared" si="13"/>
        <v>0.00313000273260376</v>
      </c>
      <c r="E332" s="7">
        <f>SUMIF($C$2:$C$403,C332,$D$2:$D$403)</f>
        <v>0.00313000273260376</v>
      </c>
      <c r="F332" s="5">
        <f t="shared" si="11"/>
        <v>0</v>
      </c>
      <c r="G332">
        <f t="shared" si="12"/>
        <v>0</v>
      </c>
    </row>
    <row r="333" spans="1:7">
      <c r="A333" t="s">
        <v>525</v>
      </c>
      <c r="B333">
        <v>765746</v>
      </c>
      <c r="C333" t="s">
        <v>526</v>
      </c>
      <c r="D333" s="5">
        <f t="shared" si="13"/>
        <v>0.00249033656556588</v>
      </c>
      <c r="E333" s="7">
        <f>SUMIF($C$2:$C$403,C333,$D$2:$D$403)</f>
        <v>0.00249033656556588</v>
      </c>
      <c r="F333" s="5">
        <f t="shared" si="11"/>
        <v>0</v>
      </c>
      <c r="G333">
        <f t="shared" si="12"/>
        <v>0</v>
      </c>
    </row>
    <row r="334" spans="1:7">
      <c r="A334" t="s">
        <v>647</v>
      </c>
      <c r="B334">
        <v>406850</v>
      </c>
      <c r="C334" t="s">
        <v>636</v>
      </c>
      <c r="D334" s="5">
        <f t="shared" si="13"/>
        <v>0.00132314557529583</v>
      </c>
      <c r="E334" s="7">
        <f>SUMIF($C$2:$C$403,C334,$D$2:$D$403)</f>
        <v>0.00132314557529583</v>
      </c>
      <c r="F334" s="5">
        <f t="shared" si="11"/>
        <v>0</v>
      </c>
      <c r="G334">
        <f t="shared" si="12"/>
        <v>0</v>
      </c>
    </row>
    <row r="335" spans="1:7">
      <c r="A335" t="s">
        <v>296</v>
      </c>
      <c r="B335">
        <v>524889</v>
      </c>
      <c r="C335" t="s">
        <v>386</v>
      </c>
      <c r="D335" s="5">
        <f t="shared" si="13"/>
        <v>0.00170702853108382</v>
      </c>
      <c r="E335" s="7">
        <f>SUMIF($C$2:$C$403,C335,$D$2:$D$403)</f>
        <v>0.00170702853108382</v>
      </c>
      <c r="F335" s="5">
        <f t="shared" si="11"/>
        <v>0</v>
      </c>
      <c r="G335">
        <f t="shared" si="12"/>
        <v>0</v>
      </c>
    </row>
    <row r="336" spans="1:7">
      <c r="A336" t="s">
        <v>385</v>
      </c>
      <c r="B336">
        <v>406091</v>
      </c>
      <c r="C336" t="s">
        <v>312</v>
      </c>
      <c r="D336" s="5">
        <f t="shared" si="13"/>
        <v>0.00132067717787258</v>
      </c>
      <c r="E336" s="7">
        <f>SUMIF($C$2:$C$403,C336,$D$2:$D$403)</f>
        <v>0.00132067717787258</v>
      </c>
      <c r="F336" s="5">
        <f t="shared" si="11"/>
        <v>0</v>
      </c>
      <c r="G336">
        <f t="shared" si="12"/>
        <v>0</v>
      </c>
    </row>
    <row r="337" spans="1:7">
      <c r="A337" t="s">
        <v>591</v>
      </c>
      <c r="B337">
        <v>610724</v>
      </c>
      <c r="C337" t="s">
        <v>620</v>
      </c>
      <c r="D337" s="5">
        <f t="shared" si="13"/>
        <v>0.00198617858750637</v>
      </c>
      <c r="E337" s="7">
        <f>SUMIF($C$2:$C$403,C337,$D$2:$D$403)</f>
        <v>0.00198617858750637</v>
      </c>
      <c r="F337" s="5">
        <f t="shared" si="11"/>
        <v>0</v>
      </c>
      <c r="G337">
        <f t="shared" si="12"/>
        <v>0</v>
      </c>
    </row>
    <row r="338" spans="1:7">
      <c r="A338" t="s">
        <v>617</v>
      </c>
      <c r="B338">
        <v>350471</v>
      </c>
      <c r="C338" t="s">
        <v>89</v>
      </c>
      <c r="D338" s="5">
        <f t="shared" si="13"/>
        <v>0.00113979145365492</v>
      </c>
      <c r="E338" s="7">
        <f>SUMIF($C$2:$C$403,C338,$D$2:$D$403)</f>
        <v>0.00113979145365492</v>
      </c>
      <c r="F338" s="5">
        <f t="shared" si="11"/>
        <v>0</v>
      </c>
      <c r="G338">
        <f t="shared" si="12"/>
        <v>0</v>
      </c>
    </row>
    <row r="339" spans="1:7">
      <c r="A339" t="s">
        <v>441</v>
      </c>
      <c r="B339">
        <v>251932</v>
      </c>
      <c r="C339" t="s">
        <v>442</v>
      </c>
      <c r="D339" s="5">
        <f t="shared" si="13"/>
        <v>0.000819325822970205</v>
      </c>
      <c r="E339" s="7">
        <f>SUMIF($C$2:$C$403,C339,$D$2:$D$403)</f>
        <v>0.000819325822970205</v>
      </c>
      <c r="F339" s="5">
        <f t="shared" si="11"/>
        <v>0</v>
      </c>
      <c r="G339">
        <f t="shared" si="12"/>
        <v>0</v>
      </c>
    </row>
    <row r="340" spans="1:7">
      <c r="A340" t="s">
        <v>511</v>
      </c>
      <c r="B340">
        <v>498709</v>
      </c>
      <c r="C340" t="s">
        <v>510</v>
      </c>
      <c r="D340" s="5">
        <f t="shared" si="13"/>
        <v>0.00162188670691952</v>
      </c>
      <c r="E340" s="7">
        <f>SUMIF($C$2:$C$403,C340,$D$2:$D$403)</f>
        <v>0.00162188670691952</v>
      </c>
      <c r="F340" s="5">
        <f t="shared" si="11"/>
        <v>0</v>
      </c>
      <c r="G340">
        <f t="shared" si="12"/>
        <v>0</v>
      </c>
    </row>
    <row r="341" spans="1:7">
      <c r="A341" t="s">
        <v>321</v>
      </c>
      <c r="B341">
        <v>442737</v>
      </c>
      <c r="C341" t="s">
        <v>272</v>
      </c>
      <c r="D341" s="5">
        <f t="shared" si="13"/>
        <v>0.00143985621867948</v>
      </c>
      <c r="E341" s="7">
        <f>SUMIF($C$2:$C$403,C341,$D$2:$D$403)</f>
        <v>0.00143985621867948</v>
      </c>
      <c r="F341" s="5">
        <f t="shared" si="11"/>
        <v>0</v>
      </c>
      <c r="G341">
        <f t="shared" si="12"/>
        <v>0</v>
      </c>
    </row>
    <row r="342" spans="1:7">
      <c r="A342" t="s">
        <v>445</v>
      </c>
      <c r="B342">
        <v>607987</v>
      </c>
      <c r="C342" t="s">
        <v>446</v>
      </c>
      <c r="D342" s="5">
        <f t="shared" si="13"/>
        <v>0.00197727739679829</v>
      </c>
      <c r="E342" s="7">
        <f>SUMIF($C$2:$C$403,C342,$D$2:$D$403)</f>
        <v>0.00197727739679829</v>
      </c>
      <c r="F342" s="5">
        <f t="shared" si="11"/>
        <v>0</v>
      </c>
      <c r="G342">
        <f t="shared" si="12"/>
        <v>0</v>
      </c>
    </row>
    <row r="343" spans="1:7">
      <c r="A343" t="s">
        <v>261</v>
      </c>
      <c r="B343">
        <v>603717</v>
      </c>
      <c r="C343" t="s">
        <v>490</v>
      </c>
      <c r="D343" s="5">
        <f t="shared" si="13"/>
        <v>0.00196339062868593</v>
      </c>
      <c r="E343" s="7">
        <f>SUMIF($C$2:$C$403,C343,$D$2:$D$403)</f>
        <v>0.00196339062868593</v>
      </c>
      <c r="F343" s="5">
        <f t="shared" si="11"/>
        <v>0</v>
      </c>
      <c r="G343">
        <f t="shared" si="12"/>
        <v>0</v>
      </c>
    </row>
    <row r="344" spans="1:7">
      <c r="A344" t="s">
        <v>557</v>
      </c>
      <c r="B344">
        <v>408115</v>
      </c>
      <c r="C344" t="s">
        <v>20</v>
      </c>
      <c r="D344" s="5">
        <f t="shared" si="13"/>
        <v>0.00132725957100124</v>
      </c>
      <c r="E344" s="7">
        <f>SUMIF($C$2:$C$403,C344,$D$2:$D$403)</f>
        <v>0.00132725957100124</v>
      </c>
      <c r="F344" s="5">
        <f t="shared" si="11"/>
        <v>0</v>
      </c>
      <c r="G344">
        <f t="shared" si="12"/>
        <v>0</v>
      </c>
    </row>
    <row r="345" spans="1:7">
      <c r="A345" t="s">
        <v>661</v>
      </c>
      <c r="B345">
        <v>420912</v>
      </c>
      <c r="C345" t="s">
        <v>392</v>
      </c>
      <c r="D345" s="5">
        <f t="shared" si="13"/>
        <v>0.00136887759712158</v>
      </c>
      <c r="E345" s="7">
        <f>SUMIF($C$2:$C$403,C345,$D$2:$D$403)</f>
        <v>0.00136887759712158</v>
      </c>
      <c r="F345" s="5">
        <f t="shared" si="11"/>
        <v>0</v>
      </c>
      <c r="G345">
        <f t="shared" si="12"/>
        <v>0</v>
      </c>
    </row>
    <row r="346" spans="1:7">
      <c r="A346" t="s">
        <v>521</v>
      </c>
      <c r="B346">
        <v>338716</v>
      </c>
      <c r="C346" t="s">
        <v>214</v>
      </c>
      <c r="D346" s="5">
        <f t="shared" si="13"/>
        <v>0.00110156218921445</v>
      </c>
      <c r="E346" s="7">
        <f>SUMIF($C$2:$C$403,C346,$D$2:$D$403)</f>
        <v>0.00110156218921445</v>
      </c>
      <c r="F346" s="5">
        <f t="shared" si="11"/>
        <v>0</v>
      </c>
      <c r="G346">
        <f t="shared" si="12"/>
        <v>0</v>
      </c>
    </row>
    <row r="347" spans="1:7">
      <c r="A347" t="s">
        <v>82</v>
      </c>
      <c r="B347">
        <v>498580</v>
      </c>
      <c r="C347" t="s">
        <v>616</v>
      </c>
      <c r="D347" s="5">
        <f t="shared" si="13"/>
        <v>0.00162146717692268</v>
      </c>
      <c r="E347" s="7">
        <f>SUMIF($C$2:$C$403,C347,$D$2:$D$403)</f>
        <v>0.00162146717692268</v>
      </c>
      <c r="F347" s="5">
        <f t="shared" si="11"/>
        <v>0</v>
      </c>
      <c r="G347">
        <f t="shared" si="12"/>
        <v>0</v>
      </c>
    </row>
    <row r="348" spans="1:7">
      <c r="A348" t="s">
        <v>346</v>
      </c>
      <c r="B348">
        <v>609053</v>
      </c>
      <c r="C348" t="s">
        <v>376</v>
      </c>
      <c r="D348" s="5">
        <f t="shared" si="13"/>
        <v>0.0019807442105706</v>
      </c>
      <c r="E348" s="7">
        <f>SUMIF($C$2:$C$403,C348,$D$2:$D$403)</f>
        <v>0.0019807442105706</v>
      </c>
      <c r="F348" s="5">
        <f t="shared" si="11"/>
        <v>0</v>
      </c>
      <c r="G348">
        <f t="shared" si="12"/>
        <v>0</v>
      </c>
    </row>
    <row r="349" spans="1:7">
      <c r="A349" t="s">
        <v>459</v>
      </c>
      <c r="B349">
        <v>365284</v>
      </c>
      <c r="C349" t="s">
        <v>450</v>
      </c>
      <c r="D349" s="5">
        <f t="shared" si="13"/>
        <v>0.00118796585553978</v>
      </c>
      <c r="E349" s="7">
        <f>SUMIF($C$2:$C$403,C349,$D$2:$D$403)</f>
        <v>0.00118796585553978</v>
      </c>
      <c r="F349" s="5">
        <f t="shared" si="11"/>
        <v>0</v>
      </c>
      <c r="G349">
        <f t="shared" si="12"/>
        <v>0</v>
      </c>
    </row>
    <row r="350" spans="1:7">
      <c r="A350" t="s">
        <v>397</v>
      </c>
      <c r="B350">
        <v>259833</v>
      </c>
      <c r="C350" t="s">
        <v>256</v>
      </c>
      <c r="D350" s="5">
        <f t="shared" si="13"/>
        <v>0.000845021222233846</v>
      </c>
      <c r="E350" s="7">
        <f>SUMIF($C$2:$C$403,C350,$D$2:$D$403)</f>
        <v>0.000845021222233846</v>
      </c>
      <c r="F350" s="5">
        <f t="shared" si="11"/>
        <v>0</v>
      </c>
      <c r="G350">
        <f t="shared" si="12"/>
        <v>0</v>
      </c>
    </row>
    <row r="351" spans="1:7">
      <c r="A351" t="s">
        <v>651</v>
      </c>
      <c r="B351">
        <v>428251</v>
      </c>
      <c r="C351" t="s">
        <v>38</v>
      </c>
      <c r="D351" s="5">
        <f t="shared" si="13"/>
        <v>0.00139274527655404</v>
      </c>
      <c r="E351" s="7">
        <f>SUMIF($C$2:$C$403,C351,$D$2:$D$403)</f>
        <v>0.00139274527655404</v>
      </c>
      <c r="F351" s="5">
        <f t="shared" si="11"/>
        <v>0</v>
      </c>
      <c r="G351">
        <f t="shared" si="12"/>
        <v>0</v>
      </c>
    </row>
    <row r="352" spans="1:7">
      <c r="A352" t="s">
        <v>653</v>
      </c>
      <c r="B352">
        <v>428144</v>
      </c>
      <c r="C352" t="s">
        <v>12</v>
      </c>
      <c r="D352" s="5">
        <f t="shared" si="13"/>
        <v>0.00139239729430861</v>
      </c>
      <c r="E352" s="7">
        <f>SUMIF($C$2:$C$403,C352,$D$2:$D$403)</f>
        <v>0.00139239729430861</v>
      </c>
      <c r="F352" s="5">
        <f t="shared" si="11"/>
        <v>0</v>
      </c>
      <c r="G352">
        <f t="shared" si="12"/>
        <v>0</v>
      </c>
    </row>
    <row r="353" spans="1:7">
      <c r="A353" t="s">
        <v>359</v>
      </c>
      <c r="B353">
        <v>496336</v>
      </c>
      <c r="C353" t="s">
        <v>650</v>
      </c>
      <c r="D353" s="5">
        <f t="shared" si="13"/>
        <v>0.00161416930628003</v>
      </c>
      <c r="E353" s="7">
        <f>SUMIF($C$2:$C$403,C353,$D$2:$D$403)</f>
        <v>0.00161416930628003</v>
      </c>
      <c r="F353" s="5">
        <f t="shared" si="11"/>
        <v>0</v>
      </c>
      <c r="G353">
        <f t="shared" si="12"/>
        <v>0</v>
      </c>
    </row>
    <row r="354" spans="1:7">
      <c r="A354" t="s">
        <v>535</v>
      </c>
      <c r="B354">
        <v>329055</v>
      </c>
      <c r="C354" t="s">
        <v>71</v>
      </c>
      <c r="D354" s="5">
        <f t="shared" si="13"/>
        <v>0.00107014296983893</v>
      </c>
      <c r="E354" s="7">
        <f>SUMIF($C$2:$C$403,C354,$D$2:$D$403)</f>
        <v>0.00107014296983893</v>
      </c>
      <c r="F354" s="5">
        <f t="shared" si="11"/>
        <v>0</v>
      </c>
      <c r="G354">
        <f t="shared" si="12"/>
        <v>0</v>
      </c>
    </row>
    <row r="355" spans="1:7">
      <c r="A355" t="s">
        <v>585</v>
      </c>
      <c r="B355">
        <v>345439</v>
      </c>
      <c r="C355" t="s">
        <v>51</v>
      </c>
      <c r="D355" s="5">
        <f t="shared" si="13"/>
        <v>0.00112342653160775</v>
      </c>
      <c r="E355" s="7">
        <f>SUMIF($C$2:$C$403,C355,$D$2:$D$403)</f>
        <v>0.00112342653160775</v>
      </c>
      <c r="F355" s="5">
        <f t="shared" si="11"/>
        <v>0</v>
      </c>
      <c r="G355">
        <f t="shared" si="12"/>
        <v>0</v>
      </c>
    </row>
    <row r="356" spans="1:7">
      <c r="A356" t="s">
        <v>226</v>
      </c>
      <c r="B356">
        <v>713880</v>
      </c>
      <c r="C356" t="s">
        <v>360</v>
      </c>
      <c r="D356" s="5">
        <f t="shared" si="13"/>
        <v>0.00232165948947323</v>
      </c>
      <c r="E356" s="7">
        <f>SUMIF($C$2:$C$403,C356,$D$2:$D$403)</f>
        <v>0.00232165948947323</v>
      </c>
      <c r="F356" s="5">
        <f t="shared" si="11"/>
        <v>0</v>
      </c>
      <c r="G356">
        <f t="shared" si="12"/>
        <v>0</v>
      </c>
    </row>
    <row r="357" spans="1:7">
      <c r="A357" t="s">
        <v>507</v>
      </c>
      <c r="B357">
        <v>265532</v>
      </c>
      <c r="C357" t="s">
        <v>139</v>
      </c>
      <c r="D357" s="5">
        <f t="shared" si="13"/>
        <v>0.000863555342016594</v>
      </c>
      <c r="E357" s="7">
        <f>SUMIF($C$2:$C$403,C357,$D$2:$D$403)</f>
        <v>0.000863555342016594</v>
      </c>
      <c r="F357" s="5">
        <f t="shared" si="11"/>
        <v>0</v>
      </c>
      <c r="G357">
        <f t="shared" si="12"/>
        <v>0</v>
      </c>
    </row>
    <row r="358" spans="1:7">
      <c r="A358" t="s">
        <v>119</v>
      </c>
      <c r="B358">
        <v>630035</v>
      </c>
      <c r="C358" t="s">
        <v>612</v>
      </c>
      <c r="D358" s="5">
        <f t="shared" si="13"/>
        <v>0.00204898125238173</v>
      </c>
      <c r="E358" s="7">
        <f>SUMIF($C$2:$C$403,C358,$D$2:$D$403)</f>
        <v>0.00204898125238173</v>
      </c>
      <c r="F358" s="5">
        <f t="shared" si="11"/>
        <v>0</v>
      </c>
      <c r="G358">
        <f t="shared" si="12"/>
        <v>0</v>
      </c>
    </row>
    <row r="359" spans="1:7">
      <c r="A359" t="s">
        <v>687</v>
      </c>
      <c r="B359">
        <v>586703</v>
      </c>
      <c r="C359" t="s">
        <v>68</v>
      </c>
      <c r="D359" s="5">
        <f t="shared" si="13"/>
        <v>0.00190805819949069</v>
      </c>
      <c r="E359" s="7">
        <f>SUMIF($C$2:$C$403,C359,$D$2:$D$403)</f>
        <v>0.00190805819949069</v>
      </c>
      <c r="F359" s="5">
        <f t="shared" si="11"/>
        <v>0</v>
      </c>
      <c r="G359">
        <f t="shared" si="12"/>
        <v>0</v>
      </c>
    </row>
    <row r="360" spans="1:7">
      <c r="A360" t="s">
        <v>308</v>
      </c>
      <c r="B360">
        <v>357292</v>
      </c>
      <c r="C360" t="s">
        <v>444</v>
      </c>
      <c r="D360" s="5">
        <f t="shared" si="13"/>
        <v>0.00116197450875899</v>
      </c>
      <c r="E360" s="7">
        <f>SUMIF($C$2:$C$403,C360,$D$2:$D$403)</f>
        <v>0.00116197450875899</v>
      </c>
      <c r="F360" s="5">
        <f t="shared" si="11"/>
        <v>0</v>
      </c>
      <c r="G360">
        <f t="shared" si="12"/>
        <v>0</v>
      </c>
    </row>
    <row r="361" spans="1:7">
      <c r="A361" t="s">
        <v>689</v>
      </c>
      <c r="B361">
        <v>553750</v>
      </c>
      <c r="C361" t="s">
        <v>122</v>
      </c>
      <c r="D361" s="5">
        <f t="shared" si="13"/>
        <v>0.00180088942440719</v>
      </c>
      <c r="E361" s="7">
        <f>SUMIF($C$2:$C$403,C361,$D$2:$D$403)</f>
        <v>0.00180088942440719</v>
      </c>
      <c r="F361" s="5">
        <f t="shared" si="11"/>
        <v>0</v>
      </c>
      <c r="G361">
        <f t="shared" si="12"/>
        <v>0</v>
      </c>
    </row>
    <row r="362" spans="1:7">
      <c r="A362" t="s">
        <v>503</v>
      </c>
      <c r="B362">
        <v>375599</v>
      </c>
      <c r="C362" t="s">
        <v>520</v>
      </c>
      <c r="D362" s="5">
        <f t="shared" si="13"/>
        <v>0.00122151199443416</v>
      </c>
      <c r="E362" s="7">
        <f>SUMIF($C$2:$C$403,C362,$D$2:$D$403)</f>
        <v>0.00122151199443416</v>
      </c>
      <c r="F362" s="5">
        <f t="shared" si="11"/>
        <v>0</v>
      </c>
      <c r="G362">
        <f t="shared" si="12"/>
        <v>0</v>
      </c>
    </row>
    <row r="363" spans="1:7">
      <c r="A363" t="s">
        <v>325</v>
      </c>
      <c r="B363">
        <v>248134</v>
      </c>
      <c r="C363" t="s">
        <v>708</v>
      </c>
      <c r="D363" s="5">
        <f t="shared" si="13"/>
        <v>0.000806974079342398</v>
      </c>
      <c r="E363" s="7">
        <f>SUMIF($C$2:$C$403,C363,$D$2:$D$403)</f>
        <v>0.000806974079342398</v>
      </c>
      <c r="F363" s="5">
        <f t="shared" si="11"/>
        <v>0</v>
      </c>
      <c r="G363">
        <f t="shared" si="12"/>
        <v>0</v>
      </c>
    </row>
    <row r="364" spans="1:7">
      <c r="A364" t="s">
        <v>679</v>
      </c>
      <c r="B364">
        <v>338205</v>
      </c>
      <c r="C364" t="s">
        <v>412</v>
      </c>
      <c r="D364" s="5">
        <f t="shared" si="13"/>
        <v>0.0010999003300797</v>
      </c>
      <c r="E364" s="7">
        <f>SUMIF($C$2:$C$403,C364,$D$2:$D$403)</f>
        <v>0.0010999003300797</v>
      </c>
      <c r="F364" s="5">
        <f t="shared" si="11"/>
        <v>0</v>
      </c>
      <c r="G364">
        <f t="shared" si="12"/>
        <v>0</v>
      </c>
    </row>
    <row r="365" spans="1:7">
      <c r="A365" t="s">
        <v>393</v>
      </c>
      <c r="B365">
        <v>248646</v>
      </c>
      <c r="C365" t="s">
        <v>239</v>
      </c>
      <c r="D365" s="5">
        <f t="shared" si="13"/>
        <v>0.000808639190647673</v>
      </c>
      <c r="E365" s="7">
        <f>SUMIF($C$2:$C$403,C365,$D$2:$D$403)</f>
        <v>0.000808639190647673</v>
      </c>
      <c r="F365" s="5">
        <f t="shared" si="11"/>
        <v>0</v>
      </c>
      <c r="G365">
        <f t="shared" si="12"/>
        <v>0</v>
      </c>
    </row>
    <row r="366" spans="1:7">
      <c r="A366" t="s">
        <v>395</v>
      </c>
      <c r="B366">
        <v>350771</v>
      </c>
      <c r="C366" t="s">
        <v>500</v>
      </c>
      <c r="D366" s="5">
        <f t="shared" si="13"/>
        <v>0.00114076710481035</v>
      </c>
      <c r="E366" s="7">
        <f>SUMIF($C$2:$C$403,C366,$D$2:$D$403)</f>
        <v>0.00114076710481035</v>
      </c>
      <c r="F366" s="5">
        <f t="shared" si="11"/>
        <v>0</v>
      </c>
      <c r="G366">
        <f t="shared" si="12"/>
        <v>0</v>
      </c>
    </row>
    <row r="367" spans="1:7">
      <c r="A367" t="s">
        <v>162</v>
      </c>
      <c r="B367">
        <v>257317</v>
      </c>
      <c r="C367" t="s">
        <v>674</v>
      </c>
      <c r="D367" s="5">
        <f t="shared" si="13"/>
        <v>0.000836838761210264</v>
      </c>
      <c r="E367" s="7">
        <f>SUMIF($C$2:$C$403,C367,$D$2:$D$403)</f>
        <v>0.000836838761210264</v>
      </c>
      <c r="F367" s="5">
        <f t="shared" si="11"/>
        <v>0</v>
      </c>
      <c r="G367">
        <f t="shared" si="12"/>
        <v>0</v>
      </c>
    </row>
    <row r="368" spans="1:7">
      <c r="A368" t="s">
        <v>465</v>
      </c>
      <c r="B368">
        <v>442996</v>
      </c>
      <c r="C368" t="s">
        <v>466</v>
      </c>
      <c r="D368" s="5">
        <f t="shared" si="13"/>
        <v>0.00144069853084368</v>
      </c>
      <c r="E368" s="7">
        <f>SUMIF($C$2:$C$403,C368,$D$2:$D$403)</f>
        <v>0.00144069853084368</v>
      </c>
      <c r="F368" s="5">
        <f t="shared" si="11"/>
        <v>0</v>
      </c>
      <c r="G368">
        <f t="shared" si="12"/>
        <v>0</v>
      </c>
    </row>
    <row r="369" spans="1:7">
      <c r="A369" t="s">
        <v>455</v>
      </c>
      <c r="B369">
        <v>310545</v>
      </c>
      <c r="C369" t="s">
        <v>470</v>
      </c>
      <c r="D369" s="5">
        <f t="shared" si="13"/>
        <v>0.00100994529354859</v>
      </c>
      <c r="E369" s="7">
        <f>SUMIF($C$2:$C$403,C369,$D$2:$D$403)</f>
        <v>0.00100994529354859</v>
      </c>
      <c r="F369" s="5">
        <f t="shared" si="11"/>
        <v>0</v>
      </c>
      <c r="G369">
        <f t="shared" si="12"/>
        <v>0</v>
      </c>
    </row>
    <row r="370" spans="1:7">
      <c r="A370" t="s">
        <v>613</v>
      </c>
      <c r="B370">
        <v>221318</v>
      </c>
      <c r="C370" t="s">
        <v>548</v>
      </c>
      <c r="D370" s="5">
        <f t="shared" si="13"/>
        <v>0.000719763874728577</v>
      </c>
      <c r="E370" s="7">
        <f>SUMIF($C$2:$C$403,C370,$D$2:$D$403)</f>
        <v>0.000719763874728577</v>
      </c>
      <c r="F370" s="5">
        <f t="shared" si="11"/>
        <v>0</v>
      </c>
      <c r="G370">
        <f t="shared" si="12"/>
        <v>0</v>
      </c>
    </row>
    <row r="371" spans="1:7">
      <c r="A371" t="s">
        <v>403</v>
      </c>
      <c r="B371">
        <v>211952</v>
      </c>
      <c r="C371" t="s">
        <v>166</v>
      </c>
      <c r="D371" s="5">
        <f t="shared" si="13"/>
        <v>0.000689304045655895</v>
      </c>
      <c r="E371" s="7">
        <f>SUMIF($C$2:$C$403,C371,$D$2:$D$403)</f>
        <v>0.000689304045655895</v>
      </c>
      <c r="F371" s="5">
        <f t="shared" si="11"/>
        <v>0</v>
      </c>
      <c r="G371">
        <f t="shared" si="12"/>
        <v>0</v>
      </c>
    </row>
    <row r="372" spans="1:7">
      <c r="A372" t="s">
        <v>435</v>
      </c>
      <c r="B372">
        <v>372847</v>
      </c>
      <c r="C372" t="s">
        <v>420</v>
      </c>
      <c r="D372" s="5">
        <f t="shared" si="13"/>
        <v>0.0012125620211683</v>
      </c>
      <c r="E372" s="7">
        <f>SUMIF($C$2:$C$403,C372,$D$2:$D$403)</f>
        <v>0.0012125620211683</v>
      </c>
      <c r="F372" s="5">
        <f t="shared" si="11"/>
        <v>0</v>
      </c>
      <c r="G372">
        <f t="shared" si="12"/>
        <v>0</v>
      </c>
    </row>
    <row r="373" spans="1:7">
      <c r="A373" t="s">
        <v>305</v>
      </c>
      <c r="B373">
        <v>302111</v>
      </c>
      <c r="C373" t="s">
        <v>93</v>
      </c>
      <c r="D373" s="5">
        <f t="shared" si="13"/>
        <v>0.000982516487398789</v>
      </c>
      <c r="E373" s="7">
        <f>SUMIF($C$2:$C$403,C373,$D$2:$D$403)</f>
        <v>0.000982516487398789</v>
      </c>
      <c r="F373" s="5">
        <f t="shared" si="11"/>
        <v>0</v>
      </c>
      <c r="G373">
        <f t="shared" si="12"/>
        <v>0</v>
      </c>
    </row>
    <row r="374" spans="1:7">
      <c r="A374" t="s">
        <v>581</v>
      </c>
      <c r="B374">
        <v>209449</v>
      </c>
      <c r="C374" t="s">
        <v>232</v>
      </c>
      <c r="D374" s="5">
        <f t="shared" si="13"/>
        <v>0.000681163862849049</v>
      </c>
      <c r="E374" s="7">
        <f>SUMIF($C$2:$C$403,C374,$D$2:$D$403)</f>
        <v>0.000681163862849049</v>
      </c>
      <c r="F374" s="5">
        <f t="shared" si="11"/>
        <v>0</v>
      </c>
      <c r="G374">
        <f t="shared" si="12"/>
        <v>0</v>
      </c>
    </row>
    <row r="375" spans="1:7">
      <c r="A375" t="s">
        <v>575</v>
      </c>
      <c r="B375">
        <v>593231</v>
      </c>
      <c r="C375" t="s">
        <v>310</v>
      </c>
      <c r="D375" s="5">
        <f t="shared" si="13"/>
        <v>0.00192928836863296</v>
      </c>
      <c r="E375" s="7">
        <f>SUMIF($C$2:$C$403,C375,$D$2:$D$403)</f>
        <v>0.00192928836863296</v>
      </c>
      <c r="F375" s="5">
        <f t="shared" si="11"/>
        <v>0</v>
      </c>
      <c r="G375">
        <f t="shared" si="12"/>
        <v>0</v>
      </c>
    </row>
    <row r="376" spans="1:7">
      <c r="A376" t="s">
        <v>269</v>
      </c>
      <c r="B376">
        <v>428398</v>
      </c>
      <c r="C376" t="s">
        <v>709</v>
      </c>
      <c r="D376" s="5">
        <f t="shared" si="13"/>
        <v>0.00139322334562021</v>
      </c>
      <c r="E376" s="7">
        <f>SUMIF($C$2:$C$403,C376,$D$2:$D$403)</f>
        <v>0.00139322334562021</v>
      </c>
      <c r="F376" s="5">
        <f t="shared" si="11"/>
        <v>0</v>
      </c>
      <c r="G376">
        <f t="shared" si="12"/>
        <v>0</v>
      </c>
    </row>
    <row r="377" spans="1:7">
      <c r="A377" t="s">
        <v>405</v>
      </c>
      <c r="B377">
        <v>134427</v>
      </c>
      <c r="C377" t="s">
        <v>244</v>
      </c>
      <c r="D377" s="5">
        <f t="shared" si="13"/>
        <v>0.000437179526238889</v>
      </c>
      <c r="E377" s="7">
        <f>SUMIF($C$2:$C$403,C377,$D$2:$D$403)</f>
        <v>0.000437179526238889</v>
      </c>
      <c r="F377" s="5">
        <f t="shared" si="11"/>
        <v>0</v>
      </c>
      <c r="G377">
        <f t="shared" si="12"/>
        <v>0</v>
      </c>
    </row>
    <row r="378" spans="1:7">
      <c r="A378" t="s">
        <v>439</v>
      </c>
      <c r="B378">
        <v>176038</v>
      </c>
      <c r="C378" t="s">
        <v>438</v>
      </c>
      <c r="D378" s="5">
        <f t="shared" si="13"/>
        <v>0.000572505593668248</v>
      </c>
      <c r="E378" s="7">
        <f>SUMIF($C$2:$C$403,C378,$D$2:$D$403)</f>
        <v>0.000572505593668248</v>
      </c>
      <c r="F378" s="5">
        <f t="shared" si="11"/>
        <v>0</v>
      </c>
      <c r="G378">
        <f t="shared" si="12"/>
        <v>0</v>
      </c>
    </row>
    <row r="379" spans="1:7">
      <c r="A379" t="s">
        <v>313</v>
      </c>
      <c r="B379">
        <v>245341</v>
      </c>
      <c r="C379" t="s">
        <v>622</v>
      </c>
      <c r="D379" s="5">
        <f t="shared" si="13"/>
        <v>0.000797890767085297</v>
      </c>
      <c r="E379" s="7">
        <f>SUMIF($C$2:$C$403,C379,$D$2:$D$403)</f>
        <v>0.000797890767085297</v>
      </c>
      <c r="F379" s="5">
        <f t="shared" si="11"/>
        <v>0</v>
      </c>
      <c r="G379">
        <f t="shared" si="12"/>
        <v>0</v>
      </c>
    </row>
    <row r="380" spans="1:7">
      <c r="A380" t="s">
        <v>339</v>
      </c>
      <c r="B380">
        <v>288107</v>
      </c>
      <c r="C380" t="s">
        <v>317</v>
      </c>
      <c r="D380" s="5">
        <f t="shared" si="13"/>
        <v>0.000936973091463081</v>
      </c>
      <c r="E380" s="7">
        <f>SUMIF($C$2:$C$403,C380,$D$2:$D$403)</f>
        <v>0.000936973091463081</v>
      </c>
      <c r="F380" s="5">
        <f t="shared" si="11"/>
        <v>0</v>
      </c>
      <c r="G380">
        <f t="shared" si="12"/>
        <v>0</v>
      </c>
    </row>
    <row r="381" spans="1:7">
      <c r="A381" t="s">
        <v>138</v>
      </c>
      <c r="B381">
        <v>146958</v>
      </c>
      <c r="C381" t="s">
        <v>200</v>
      </c>
      <c r="D381" s="5">
        <f t="shared" si="13"/>
        <v>0.000477932475001411</v>
      </c>
      <c r="E381" s="7">
        <f>SUMIF($C$2:$C$403,C381,$D$2:$D$403)</f>
        <v>0.000477932475001411</v>
      </c>
      <c r="F381" s="5">
        <f t="shared" si="11"/>
        <v>0</v>
      </c>
      <c r="G381">
        <f t="shared" si="12"/>
        <v>0</v>
      </c>
    </row>
    <row r="382" spans="1:7">
      <c r="A382" t="s">
        <v>501</v>
      </c>
      <c r="B382">
        <v>319634</v>
      </c>
      <c r="C382" t="s">
        <v>480</v>
      </c>
      <c r="D382" s="5">
        <f t="shared" si="13"/>
        <v>0.00103950427138775</v>
      </c>
      <c r="E382" s="7">
        <f>SUMIF($C$2:$C$403,C382,$D$2:$D$403)</f>
        <v>0.00103950427138775</v>
      </c>
      <c r="F382" s="5">
        <f t="shared" si="11"/>
        <v>0</v>
      </c>
      <c r="G382">
        <f t="shared" si="12"/>
        <v>0</v>
      </c>
    </row>
    <row r="383" spans="1:7">
      <c r="A383" t="s">
        <v>411</v>
      </c>
      <c r="B383">
        <v>254143</v>
      </c>
      <c r="C383" t="s">
        <v>221</v>
      </c>
      <c r="D383" s="5">
        <f t="shared" si="13"/>
        <v>0.000826516371985762</v>
      </c>
      <c r="E383" s="7">
        <f>SUMIF($C$2:$C$403,C383,$D$2:$D$403)</f>
        <v>0.000826516371985762</v>
      </c>
      <c r="F383" s="5">
        <f t="shared" si="11"/>
        <v>0</v>
      </c>
      <c r="G383">
        <f t="shared" si="12"/>
        <v>0</v>
      </c>
    </row>
    <row r="384" spans="1:7">
      <c r="A384" t="s">
        <v>64</v>
      </c>
      <c r="B384">
        <v>146756</v>
      </c>
      <c r="C384" t="s">
        <v>382</v>
      </c>
      <c r="D384" s="5">
        <f t="shared" si="13"/>
        <v>0.000477275536556751</v>
      </c>
      <c r="E384" s="7">
        <f>SUMIF($C$2:$C$403,C384,$D$2:$D$403)</f>
        <v>0.000477275536556751</v>
      </c>
      <c r="F384" s="5">
        <f t="shared" si="11"/>
        <v>0</v>
      </c>
      <c r="G384">
        <f t="shared" si="12"/>
        <v>0</v>
      </c>
    </row>
    <row r="385" spans="1:7">
      <c r="A385" t="s">
        <v>148</v>
      </c>
      <c r="B385">
        <v>233489</v>
      </c>
      <c r="C385" t="s">
        <v>710</v>
      </c>
      <c r="D385" s="5">
        <f t="shared" si="13"/>
        <v>0.000759346042104577</v>
      </c>
      <c r="E385" s="7">
        <f>SUMIF($C$2:$C$403,C385,$D$2:$D$403)</f>
        <v>0.000759346042104577</v>
      </c>
      <c r="F385" s="5">
        <f t="shared" si="11"/>
        <v>0</v>
      </c>
      <c r="G385">
        <f t="shared" si="12"/>
        <v>0</v>
      </c>
    </row>
    <row r="386" spans="1:7">
      <c r="A386" t="s">
        <v>683</v>
      </c>
      <c r="B386">
        <v>64097</v>
      </c>
      <c r="C386" t="s">
        <v>410</v>
      </c>
      <c r="D386" s="5">
        <f t="shared" si="13"/>
        <v>0.000208454373699733</v>
      </c>
      <c r="E386" s="7">
        <f>SUMIF($C$2:$C$403,C386,$D$2:$D$403)</f>
        <v>0.000208454373699733</v>
      </c>
      <c r="F386" s="5">
        <f t="shared" ref="F386:F403" si="14">E386-D386</f>
        <v>0</v>
      </c>
      <c r="G386">
        <f t="shared" ref="G386:G403" si="15">COUNTIF(C386:C786,C386)-1</f>
        <v>0</v>
      </c>
    </row>
    <row r="387" spans="1:7">
      <c r="A387" t="s">
        <v>350</v>
      </c>
      <c r="B387">
        <v>151254</v>
      </c>
      <c r="C387" t="s">
        <v>154</v>
      </c>
      <c r="D387" s="5">
        <f>B387/SUM($B$2:$B$403)</f>
        <v>0.000491903799547241</v>
      </c>
      <c r="E387" s="7">
        <f>SUMIF($C$2:$C$403,C387,$D$2:$D$403)</f>
        <v>0.000491903799547241</v>
      </c>
      <c r="F387" s="5">
        <f t="shared" si="14"/>
        <v>0</v>
      </c>
      <c r="G387">
        <f t="shared" si="15"/>
        <v>0</v>
      </c>
    </row>
    <row r="388" spans="1:7">
      <c r="A388" t="s">
        <v>453</v>
      </c>
      <c r="B388">
        <v>275683</v>
      </c>
      <c r="C388" t="s">
        <v>456</v>
      </c>
      <c r="D388" s="5">
        <f>B388/SUM($B$2:$B$403)</f>
        <v>0.000896568124945998</v>
      </c>
      <c r="E388" s="7">
        <f>SUMIF($C$2:$C$403,C388,$D$2:$D$403)</f>
        <v>0.000896568124945998</v>
      </c>
      <c r="F388" s="5">
        <f t="shared" si="14"/>
        <v>0</v>
      </c>
      <c r="G388">
        <f t="shared" si="15"/>
        <v>0</v>
      </c>
    </row>
    <row r="389" spans="1:7">
      <c r="A389" t="s">
        <v>657</v>
      </c>
      <c r="B389">
        <v>91488</v>
      </c>
      <c r="C389" t="s">
        <v>388</v>
      </c>
      <c r="D389" s="5">
        <f>B389/SUM($B$2:$B$403)</f>
        <v>0.000297534576361471</v>
      </c>
      <c r="E389" s="7">
        <f>SUMIF($C$2:$C$403,C389,$D$2:$D$403)</f>
        <v>0.000297534576361471</v>
      </c>
      <c r="F389" s="5">
        <f t="shared" si="14"/>
        <v>0</v>
      </c>
      <c r="G389">
        <f t="shared" si="15"/>
        <v>0</v>
      </c>
    </row>
    <row r="390" spans="1:7">
      <c r="A390" t="s">
        <v>194</v>
      </c>
      <c r="B390">
        <v>133381</v>
      </c>
      <c r="C390" t="s">
        <v>364</v>
      </c>
      <c r="D390" s="5">
        <f>B390/SUM($B$2:$B$403)</f>
        <v>0.000433777755876939</v>
      </c>
      <c r="E390" s="7">
        <f>SUMIF($C$2:$C$403,C390,$D$2:$D$403)</f>
        <v>0.000433777755876939</v>
      </c>
      <c r="F390" s="5">
        <f t="shared" si="14"/>
        <v>0</v>
      </c>
      <c r="G390">
        <f t="shared" si="15"/>
        <v>0</v>
      </c>
    </row>
    <row r="391" spans="1:7">
      <c r="A391" t="s">
        <v>351</v>
      </c>
      <c r="B391">
        <v>172918</v>
      </c>
      <c r="C391" t="s">
        <v>414</v>
      </c>
      <c r="D391" s="5">
        <f>B391/SUM($B$2:$B$403)</f>
        <v>0.000562358821651723</v>
      </c>
      <c r="E391" s="7">
        <f>SUMIF($C$2:$C$403,C391,$D$2:$D$403)</f>
        <v>0.000562358821651723</v>
      </c>
      <c r="F391" s="5">
        <f t="shared" si="14"/>
        <v>0</v>
      </c>
      <c r="G391">
        <f t="shared" si="15"/>
        <v>0</v>
      </c>
    </row>
    <row r="392" spans="1:7">
      <c r="A392" t="s">
        <v>329</v>
      </c>
      <c r="B392">
        <v>212620</v>
      </c>
      <c r="C392" t="s">
        <v>711</v>
      </c>
      <c r="D392" s="5">
        <f>B392/SUM($B$2:$B$403)</f>
        <v>0.000691476495561997</v>
      </c>
      <c r="E392" s="7">
        <f>SUMIF($C$2:$C$403,C392,$D$2:$D$403)</f>
        <v>0.000691476495561997</v>
      </c>
      <c r="F392" s="5">
        <f t="shared" si="14"/>
        <v>0</v>
      </c>
      <c r="G392">
        <f t="shared" si="15"/>
        <v>0</v>
      </c>
    </row>
    <row r="393" spans="1:7">
      <c r="A393" t="s">
        <v>681</v>
      </c>
      <c r="B393">
        <v>73927</v>
      </c>
      <c r="C393" t="s">
        <v>266</v>
      </c>
      <c r="D393" s="5">
        <f>B393/SUM($B$2:$B$403)</f>
        <v>0.000240423209892822</v>
      </c>
      <c r="E393" s="7">
        <f>SUMIF($C$2:$C$403,C393,$D$2:$D$403)</f>
        <v>0.000240423209892822</v>
      </c>
      <c r="F393" s="5">
        <f t="shared" si="14"/>
        <v>0</v>
      </c>
      <c r="G393">
        <f t="shared" si="15"/>
        <v>0</v>
      </c>
    </row>
    <row r="394" spans="1:7">
      <c r="A394" t="s">
        <v>611</v>
      </c>
      <c r="B394">
        <v>124129</v>
      </c>
      <c r="C394" t="s">
        <v>96</v>
      </c>
      <c r="D394" s="5">
        <f>B394/SUM($B$2:$B$403)</f>
        <v>0.000403688674243322</v>
      </c>
      <c r="E394" s="7">
        <f>SUMIF($C$2:$C$403,C394,$D$2:$D$403)</f>
        <v>0.000403688674243322</v>
      </c>
      <c r="F394" s="5">
        <f t="shared" si="14"/>
        <v>0</v>
      </c>
      <c r="G394">
        <f t="shared" si="15"/>
        <v>0</v>
      </c>
    </row>
    <row r="395" spans="1:7">
      <c r="A395" t="s">
        <v>90</v>
      </c>
      <c r="B395">
        <v>53114</v>
      </c>
      <c r="C395" t="s">
        <v>368</v>
      </c>
      <c r="D395" s="5">
        <f>B395/SUM($B$2:$B$403)</f>
        <v>0.000172735784899256</v>
      </c>
      <c r="E395" s="7">
        <f>SUMIF($C$2:$C$403,C395,$D$2:$D$403)</f>
        <v>0.000172735784899256</v>
      </c>
      <c r="F395" s="5">
        <f t="shared" si="14"/>
        <v>0</v>
      </c>
      <c r="G395">
        <f t="shared" si="15"/>
        <v>0</v>
      </c>
    </row>
    <row r="396" spans="1:7">
      <c r="A396" t="s">
        <v>573</v>
      </c>
      <c r="B396">
        <v>143764</v>
      </c>
      <c r="C396" t="s">
        <v>574</v>
      </c>
      <c r="D396" s="5">
        <f>B396/SUM($B$2:$B$403)</f>
        <v>0.000467545042366546</v>
      </c>
      <c r="E396" s="7">
        <f>SUMIF($C$2:$C$403,C396,$D$2:$D$403)</f>
        <v>0.000467545042366546</v>
      </c>
      <c r="F396" s="5">
        <f t="shared" si="14"/>
        <v>0</v>
      </c>
      <c r="G396">
        <f t="shared" si="15"/>
        <v>0</v>
      </c>
    </row>
    <row r="397" spans="1:7">
      <c r="A397" t="s">
        <v>327</v>
      </c>
      <c r="B397">
        <v>68835</v>
      </c>
      <c r="C397" t="s">
        <v>576</v>
      </c>
      <c r="D397" s="5">
        <f>B397/SUM($B$2:$B$403)</f>
        <v>0.000223863157614571</v>
      </c>
      <c r="E397" s="7">
        <f>SUMIF($C$2:$C$403,C397,$D$2:$D$403)</f>
        <v>0.000223863157614571</v>
      </c>
      <c r="F397" s="5">
        <f t="shared" si="14"/>
        <v>0</v>
      </c>
      <c r="G397">
        <f t="shared" si="15"/>
        <v>0</v>
      </c>
    </row>
    <row r="398" spans="1:7">
      <c r="A398" t="s">
        <v>413</v>
      </c>
      <c r="B398">
        <v>39692</v>
      </c>
      <c r="C398" t="s">
        <v>161</v>
      </c>
      <c r="D398" s="5">
        <f>B398/SUM($B$2:$B$403)</f>
        <v>0.000129085152205093</v>
      </c>
      <c r="E398" s="7">
        <f>SUMIF($C$2:$C$403,C398,$D$2:$D$403)</f>
        <v>0.000129085152205093</v>
      </c>
      <c r="F398" s="5">
        <f t="shared" si="14"/>
        <v>0</v>
      </c>
      <c r="G398">
        <f t="shared" si="15"/>
        <v>0</v>
      </c>
    </row>
    <row r="399" spans="1:7">
      <c r="A399" t="s">
        <v>387</v>
      </c>
      <c r="B399">
        <v>25731</v>
      </c>
      <c r="C399" t="s">
        <v>98</v>
      </c>
      <c r="D399" s="5">
        <f>B399/SUM($B$2:$B$403)</f>
        <v>8.36815996016637e-5</v>
      </c>
      <c r="E399" s="7">
        <f>SUMIF($C$2:$C$403,C399,$D$2:$D$403)</f>
        <v>8.36815996016637e-5</v>
      </c>
      <c r="F399" s="5">
        <f t="shared" si="14"/>
        <v>0</v>
      </c>
      <c r="G399">
        <f t="shared" si="15"/>
        <v>0</v>
      </c>
    </row>
    <row r="400" spans="1:7">
      <c r="A400" t="s">
        <v>332</v>
      </c>
      <c r="B400">
        <v>18350</v>
      </c>
      <c r="C400" t="s">
        <v>608</v>
      </c>
      <c r="D400" s="5">
        <f>B400/SUM($B$2:$B$403)</f>
        <v>5.96773290074435e-5</v>
      </c>
      <c r="E400" s="7">
        <f>SUMIF($C$2:$C$403,C400,$D$2:$D$403)</f>
        <v>5.96773290074435e-5</v>
      </c>
      <c r="F400" s="5">
        <f t="shared" si="14"/>
        <v>0</v>
      </c>
      <c r="G400">
        <f t="shared" si="15"/>
        <v>0</v>
      </c>
    </row>
    <row r="401" spans="1:7">
      <c r="A401" t="s">
        <v>415</v>
      </c>
      <c r="B401">
        <v>6660</v>
      </c>
      <c r="C401" t="s">
        <v>229</v>
      </c>
      <c r="D401" s="5">
        <f>B401/SUM($B$2:$B$403)</f>
        <v>2.1659455650658e-5</v>
      </c>
      <c r="E401" s="7">
        <f>SUMIF($C$2:$C$403,C401,$D$2:$D$403)</f>
        <v>2.1659455650658e-5</v>
      </c>
      <c r="F401" s="5">
        <f t="shared" si="14"/>
        <v>0</v>
      </c>
      <c r="G401">
        <f t="shared" si="15"/>
        <v>0</v>
      </c>
    </row>
    <row r="402" spans="1:7">
      <c r="A402" t="s">
        <v>553</v>
      </c>
      <c r="B402">
        <v>6668</v>
      </c>
      <c r="C402" t="s">
        <v>554</v>
      </c>
      <c r="D402" s="5">
        <f>B402/SUM($B$2:$B$403)</f>
        <v>2.16854730148029e-5</v>
      </c>
      <c r="E402" s="7">
        <f>SUMIF($C$2:$C$403,C402,$D$2:$D$403)</f>
        <v>2.16854730148029e-5</v>
      </c>
      <c r="F402" s="5">
        <f t="shared" si="14"/>
        <v>0</v>
      </c>
      <c r="G402">
        <f t="shared" si="15"/>
        <v>0</v>
      </c>
    </row>
    <row r="403" spans="1:7">
      <c r="A403" t="s">
        <v>427</v>
      </c>
      <c r="B403">
        <v>1</v>
      </c>
      <c r="C403" t="s">
        <v>116</v>
      </c>
      <c r="D403" s="5">
        <f>B403/SUM($B$2:$B$403)</f>
        <v>3.25217051811681e-9</v>
      </c>
      <c r="E403" s="7">
        <f>SUMIF($C$2:$C$403,C403,$D$2:$D$403)</f>
        <v>3.25217051811681e-9</v>
      </c>
      <c r="F403" s="5">
        <f t="shared" si="14"/>
        <v>0</v>
      </c>
      <c r="G403">
        <f t="shared" si="15"/>
        <v>0</v>
      </c>
    </row>
  </sheetData>
  <sortState ref="操作频率!A2:G403">
    <sortCondition ref="操作频率!G2" descending="1"/>
  </sortState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403"/>
  <sheetViews>
    <sheetView workbookViewId="0">
      <selection activeCell="I2" sqref="I2"/>
    </sheetView>
  </sheetViews>
  <sheetFormatPr defaultColWidth="9" defaultRowHeight="13.5"/>
  <cols>
    <col min="4" max="4" width="13.8833333333333" customWidth="1"/>
    <col min="5" max="7" width="11.6666666666667" customWidth="1"/>
    <col min="9" max="9" width="11.6666666666667" customWidth="1"/>
    <col min="10" max="11" width="12.775" customWidth="1"/>
  </cols>
  <sheetData>
    <row r="1" spans="1:9">
      <c r="A1" t="s">
        <v>0</v>
      </c>
      <c r="B1" t="s">
        <v>697</v>
      </c>
      <c r="C1" t="s">
        <v>712</v>
      </c>
      <c r="D1" t="s">
        <v>713</v>
      </c>
      <c r="E1" s="1" t="s">
        <v>714</v>
      </c>
      <c r="F1" s="2" t="s">
        <v>715</v>
      </c>
      <c r="G1" s="1" t="s">
        <v>716</v>
      </c>
      <c r="I1" s="2" t="s">
        <v>717</v>
      </c>
    </row>
    <row r="2" spans="1:11">
      <c r="A2" t="s">
        <v>282</v>
      </c>
      <c r="B2">
        <v>3350224</v>
      </c>
      <c r="C2">
        <v>77</v>
      </c>
      <c r="D2">
        <v>88</v>
      </c>
      <c r="E2">
        <f>D2-C2</f>
        <v>11</v>
      </c>
      <c r="F2">
        <f>E2*B2</f>
        <v>36852464</v>
      </c>
      <c r="G2">
        <f>C2*B2</f>
        <v>257967248</v>
      </c>
      <c r="I2" s="3">
        <f>SUM(F:F)/SUM(F:G)</f>
        <v>0.107847470160747</v>
      </c>
      <c r="J2" s="4"/>
      <c r="K2" s="4"/>
    </row>
    <row r="3" spans="1:7">
      <c r="A3" t="s">
        <v>8</v>
      </c>
      <c r="B3">
        <v>115512</v>
      </c>
      <c r="C3">
        <v>11</v>
      </c>
      <c r="D3">
        <v>88</v>
      </c>
      <c r="E3">
        <f t="shared" ref="E3:E66" si="0">D3-C3</f>
        <v>77</v>
      </c>
      <c r="F3">
        <f t="shared" ref="F3:F66" si="1">E3*B3</f>
        <v>8894424</v>
      </c>
      <c r="G3">
        <f t="shared" ref="G3:G66" si="2">C3*B3</f>
        <v>1270632</v>
      </c>
    </row>
    <row r="4" spans="1:7">
      <c r="A4" t="s">
        <v>277</v>
      </c>
      <c r="B4">
        <v>2954203</v>
      </c>
      <c r="C4">
        <v>49</v>
      </c>
      <c r="D4">
        <v>56</v>
      </c>
      <c r="E4">
        <f t="shared" si="0"/>
        <v>7</v>
      </c>
      <c r="F4">
        <f t="shared" si="1"/>
        <v>20679421</v>
      </c>
      <c r="G4">
        <f t="shared" si="2"/>
        <v>144755947</v>
      </c>
    </row>
    <row r="5" spans="1:7">
      <c r="A5" t="s">
        <v>11</v>
      </c>
      <c r="B5">
        <v>131130</v>
      </c>
      <c r="C5">
        <v>7</v>
      </c>
      <c r="D5">
        <v>56</v>
      </c>
      <c r="E5">
        <f t="shared" si="0"/>
        <v>49</v>
      </c>
      <c r="F5">
        <f t="shared" si="1"/>
        <v>6425370</v>
      </c>
      <c r="G5">
        <f t="shared" si="2"/>
        <v>917910</v>
      </c>
    </row>
    <row r="6" spans="1:7">
      <c r="A6" t="s">
        <v>354</v>
      </c>
      <c r="B6">
        <v>2504190</v>
      </c>
      <c r="C6">
        <v>21</v>
      </c>
      <c r="D6">
        <v>22</v>
      </c>
      <c r="E6">
        <f t="shared" si="0"/>
        <v>1</v>
      </c>
      <c r="F6">
        <f t="shared" si="1"/>
        <v>2504190</v>
      </c>
      <c r="G6">
        <f t="shared" si="2"/>
        <v>52587990</v>
      </c>
    </row>
    <row r="7" spans="1:7">
      <c r="A7" t="s">
        <v>13</v>
      </c>
      <c r="B7">
        <v>198</v>
      </c>
      <c r="C7">
        <v>1</v>
      </c>
      <c r="D7">
        <v>22</v>
      </c>
      <c r="E7">
        <f t="shared" si="0"/>
        <v>21</v>
      </c>
      <c r="F7">
        <f t="shared" si="1"/>
        <v>4158</v>
      </c>
      <c r="G7">
        <f t="shared" si="2"/>
        <v>198</v>
      </c>
    </row>
    <row r="8" spans="1:7">
      <c r="A8" t="s">
        <v>120</v>
      </c>
      <c r="B8">
        <v>1828853</v>
      </c>
      <c r="C8">
        <v>101</v>
      </c>
      <c r="D8">
        <v>121</v>
      </c>
      <c r="E8">
        <f t="shared" si="0"/>
        <v>20</v>
      </c>
      <c r="F8">
        <f t="shared" si="1"/>
        <v>36577060</v>
      </c>
      <c r="G8">
        <f t="shared" si="2"/>
        <v>184714153</v>
      </c>
    </row>
    <row r="9" spans="1:7">
      <c r="A9" t="s">
        <v>34</v>
      </c>
      <c r="B9">
        <v>672366</v>
      </c>
      <c r="C9">
        <v>20</v>
      </c>
      <c r="D9">
        <v>121</v>
      </c>
      <c r="E9">
        <f t="shared" si="0"/>
        <v>101</v>
      </c>
      <c r="F9">
        <f t="shared" si="1"/>
        <v>67908966</v>
      </c>
      <c r="G9">
        <f t="shared" si="2"/>
        <v>13447320</v>
      </c>
    </row>
    <row r="10" spans="1:7">
      <c r="A10" t="s">
        <v>158</v>
      </c>
      <c r="B10">
        <v>1937403</v>
      </c>
      <c r="C10">
        <v>70</v>
      </c>
      <c r="D10">
        <v>94</v>
      </c>
      <c r="E10">
        <f t="shared" si="0"/>
        <v>24</v>
      </c>
      <c r="F10">
        <f t="shared" si="1"/>
        <v>46497672</v>
      </c>
      <c r="G10">
        <f t="shared" si="2"/>
        <v>135618210</v>
      </c>
    </row>
    <row r="11" spans="1:7">
      <c r="A11" t="s">
        <v>30</v>
      </c>
      <c r="B11">
        <v>490805</v>
      </c>
      <c r="C11">
        <v>24</v>
      </c>
      <c r="D11">
        <v>94</v>
      </c>
      <c r="E11">
        <f t="shared" si="0"/>
        <v>70</v>
      </c>
      <c r="F11">
        <f t="shared" si="1"/>
        <v>34356350</v>
      </c>
      <c r="G11">
        <f t="shared" si="2"/>
        <v>11779320</v>
      </c>
    </row>
    <row r="12" spans="1:7">
      <c r="A12" t="s">
        <v>75</v>
      </c>
      <c r="B12">
        <v>1351257</v>
      </c>
      <c r="C12">
        <v>37</v>
      </c>
      <c r="D12">
        <v>38</v>
      </c>
      <c r="E12">
        <f t="shared" si="0"/>
        <v>1</v>
      </c>
      <c r="F12">
        <f t="shared" si="1"/>
        <v>1351257</v>
      </c>
      <c r="G12">
        <f t="shared" si="2"/>
        <v>49996509</v>
      </c>
    </row>
    <row r="13" spans="1:7">
      <c r="A13" t="s">
        <v>54</v>
      </c>
      <c r="B13">
        <v>991994</v>
      </c>
      <c r="C13">
        <v>1</v>
      </c>
      <c r="D13">
        <v>38</v>
      </c>
      <c r="E13">
        <f t="shared" si="0"/>
        <v>37</v>
      </c>
      <c r="F13">
        <f t="shared" si="1"/>
        <v>36703778</v>
      </c>
      <c r="G13">
        <f t="shared" si="2"/>
        <v>991994</v>
      </c>
    </row>
    <row r="14" spans="1:7">
      <c r="A14" t="s">
        <v>318</v>
      </c>
      <c r="B14">
        <v>2125717</v>
      </c>
      <c r="C14">
        <v>50</v>
      </c>
      <c r="D14">
        <v>52</v>
      </c>
      <c r="E14">
        <f t="shared" si="0"/>
        <v>2</v>
      </c>
      <c r="F14">
        <f t="shared" si="1"/>
        <v>4251434</v>
      </c>
      <c r="G14">
        <f t="shared" si="2"/>
        <v>106285850</v>
      </c>
    </row>
    <row r="15" spans="1:7">
      <c r="A15" t="s">
        <v>16</v>
      </c>
      <c r="B15">
        <v>60705</v>
      </c>
      <c r="C15">
        <v>2</v>
      </c>
      <c r="D15">
        <v>52</v>
      </c>
      <c r="E15">
        <f t="shared" si="0"/>
        <v>50</v>
      </c>
      <c r="F15">
        <f t="shared" si="1"/>
        <v>3035250</v>
      </c>
      <c r="G15">
        <f t="shared" si="2"/>
        <v>121410</v>
      </c>
    </row>
    <row r="16" spans="1:7">
      <c r="A16" t="s">
        <v>270</v>
      </c>
      <c r="B16">
        <v>2028466</v>
      </c>
      <c r="C16">
        <v>23</v>
      </c>
      <c r="D16">
        <v>29</v>
      </c>
      <c r="E16">
        <f t="shared" si="0"/>
        <v>6</v>
      </c>
      <c r="F16">
        <f t="shared" si="1"/>
        <v>12170796</v>
      </c>
      <c r="G16">
        <f t="shared" si="2"/>
        <v>46654718</v>
      </c>
    </row>
    <row r="17" spans="1:7">
      <c r="A17" t="s">
        <v>21</v>
      </c>
      <c r="B17">
        <v>141726</v>
      </c>
      <c r="C17">
        <v>6</v>
      </c>
      <c r="D17">
        <v>29</v>
      </c>
      <c r="E17">
        <f t="shared" si="0"/>
        <v>23</v>
      </c>
      <c r="F17">
        <f t="shared" si="1"/>
        <v>3259698</v>
      </c>
      <c r="G17">
        <f t="shared" si="2"/>
        <v>850356</v>
      </c>
    </row>
    <row r="18" spans="1:7">
      <c r="A18" t="s">
        <v>292</v>
      </c>
      <c r="B18">
        <v>2009066</v>
      </c>
      <c r="C18">
        <v>14</v>
      </c>
      <c r="D18">
        <v>25</v>
      </c>
      <c r="E18">
        <f t="shared" si="0"/>
        <v>11</v>
      </c>
      <c r="F18">
        <f t="shared" si="1"/>
        <v>22099726</v>
      </c>
      <c r="G18">
        <f t="shared" si="2"/>
        <v>28126924</v>
      </c>
    </row>
    <row r="19" spans="1:7">
      <c r="A19" t="s">
        <v>25</v>
      </c>
      <c r="B19">
        <v>103539</v>
      </c>
      <c r="C19">
        <v>11</v>
      </c>
      <c r="D19">
        <v>25</v>
      </c>
      <c r="E19">
        <f t="shared" si="0"/>
        <v>14</v>
      </c>
      <c r="F19">
        <f t="shared" si="1"/>
        <v>1449546</v>
      </c>
      <c r="G19">
        <f t="shared" si="2"/>
        <v>1138929</v>
      </c>
    </row>
    <row r="20" spans="1:7">
      <c r="A20" t="s">
        <v>337</v>
      </c>
      <c r="B20">
        <v>2063177</v>
      </c>
      <c r="C20">
        <v>15</v>
      </c>
      <c r="D20">
        <v>21</v>
      </c>
      <c r="E20">
        <f t="shared" si="0"/>
        <v>6</v>
      </c>
      <c r="F20">
        <f t="shared" si="1"/>
        <v>12379062</v>
      </c>
      <c r="G20">
        <f t="shared" si="2"/>
        <v>30947655</v>
      </c>
    </row>
    <row r="21" spans="1:7">
      <c r="A21" t="s">
        <v>19</v>
      </c>
      <c r="B21">
        <v>18008</v>
      </c>
      <c r="C21">
        <v>6</v>
      </c>
      <c r="D21">
        <v>21</v>
      </c>
      <c r="E21">
        <f t="shared" si="0"/>
        <v>15</v>
      </c>
      <c r="F21">
        <f t="shared" si="1"/>
        <v>270120</v>
      </c>
      <c r="G21">
        <f t="shared" si="2"/>
        <v>108048</v>
      </c>
    </row>
    <row r="22" spans="1:7">
      <c r="A22" t="s">
        <v>349</v>
      </c>
      <c r="B22">
        <v>1958432</v>
      </c>
      <c r="C22">
        <v>43</v>
      </c>
      <c r="D22">
        <v>46</v>
      </c>
      <c r="E22">
        <f t="shared" si="0"/>
        <v>3</v>
      </c>
      <c r="F22">
        <f t="shared" si="1"/>
        <v>5875296</v>
      </c>
      <c r="G22">
        <f t="shared" si="2"/>
        <v>84212576</v>
      </c>
    </row>
    <row r="23" spans="1:7">
      <c r="A23" t="s">
        <v>28</v>
      </c>
      <c r="B23">
        <v>3946</v>
      </c>
      <c r="C23">
        <v>3</v>
      </c>
      <c r="D23">
        <v>46</v>
      </c>
      <c r="E23">
        <f t="shared" si="0"/>
        <v>43</v>
      </c>
      <c r="F23">
        <f t="shared" si="1"/>
        <v>169678</v>
      </c>
      <c r="G23">
        <f t="shared" si="2"/>
        <v>11838</v>
      </c>
    </row>
    <row r="24" spans="1:7">
      <c r="A24" t="s">
        <v>225</v>
      </c>
      <c r="B24">
        <v>1655594</v>
      </c>
      <c r="C24">
        <v>16</v>
      </c>
      <c r="D24">
        <v>43</v>
      </c>
      <c r="E24">
        <f t="shared" si="0"/>
        <v>27</v>
      </c>
      <c r="F24">
        <f t="shared" si="1"/>
        <v>44701038</v>
      </c>
      <c r="G24">
        <f t="shared" si="2"/>
        <v>26489504</v>
      </c>
    </row>
    <row r="25" spans="1:7">
      <c r="A25" t="s">
        <v>44</v>
      </c>
      <c r="B25">
        <v>245187</v>
      </c>
      <c r="C25">
        <v>27</v>
      </c>
      <c r="D25">
        <v>43</v>
      </c>
      <c r="E25">
        <f t="shared" si="0"/>
        <v>16</v>
      </c>
      <c r="F25">
        <f t="shared" si="1"/>
        <v>3922992</v>
      </c>
      <c r="G25">
        <f t="shared" si="2"/>
        <v>6620049</v>
      </c>
    </row>
    <row r="26" spans="1:7">
      <c r="A26" t="s">
        <v>210</v>
      </c>
      <c r="B26">
        <v>1561129</v>
      </c>
      <c r="C26">
        <v>31</v>
      </c>
      <c r="D26">
        <v>49</v>
      </c>
      <c r="E26">
        <f t="shared" si="0"/>
        <v>18</v>
      </c>
      <c r="F26">
        <f t="shared" si="1"/>
        <v>28100322</v>
      </c>
      <c r="G26">
        <f t="shared" si="2"/>
        <v>48394999</v>
      </c>
    </row>
    <row r="27" spans="1:7">
      <c r="A27" t="s">
        <v>46</v>
      </c>
      <c r="B27">
        <v>286618</v>
      </c>
      <c r="C27">
        <v>18</v>
      </c>
      <c r="D27">
        <v>49</v>
      </c>
      <c r="E27">
        <f t="shared" si="0"/>
        <v>31</v>
      </c>
      <c r="F27">
        <f t="shared" si="1"/>
        <v>8885158</v>
      </c>
      <c r="G27">
        <f t="shared" si="2"/>
        <v>5159124</v>
      </c>
    </row>
    <row r="28" spans="1:7">
      <c r="A28" t="s">
        <v>340</v>
      </c>
      <c r="B28">
        <v>1763259</v>
      </c>
      <c r="C28">
        <v>15</v>
      </c>
      <c r="D28">
        <v>19</v>
      </c>
      <c r="E28">
        <f t="shared" si="0"/>
        <v>4</v>
      </c>
      <c r="F28">
        <f t="shared" si="1"/>
        <v>7053036</v>
      </c>
      <c r="G28">
        <f t="shared" si="2"/>
        <v>26448885</v>
      </c>
    </row>
    <row r="29" spans="1:7">
      <c r="A29" t="s">
        <v>39</v>
      </c>
      <c r="B29">
        <v>14800</v>
      </c>
      <c r="C29">
        <v>4</v>
      </c>
      <c r="D29">
        <v>19</v>
      </c>
      <c r="E29">
        <f t="shared" si="0"/>
        <v>15</v>
      </c>
      <c r="F29">
        <f t="shared" si="1"/>
        <v>222000</v>
      </c>
      <c r="G29">
        <f t="shared" si="2"/>
        <v>59200</v>
      </c>
    </row>
    <row r="30" spans="1:7">
      <c r="A30" t="s">
        <v>297</v>
      </c>
      <c r="B30">
        <v>1678430</v>
      </c>
      <c r="C30">
        <v>23</v>
      </c>
      <c r="D30">
        <v>44</v>
      </c>
      <c r="E30">
        <f t="shared" si="0"/>
        <v>21</v>
      </c>
      <c r="F30">
        <f t="shared" si="1"/>
        <v>35247030</v>
      </c>
      <c r="G30">
        <f t="shared" si="2"/>
        <v>38603890</v>
      </c>
    </row>
    <row r="31" spans="1:7">
      <c r="A31" t="s">
        <v>43</v>
      </c>
      <c r="B31">
        <v>86076</v>
      </c>
      <c r="C31">
        <v>15</v>
      </c>
      <c r="D31">
        <v>44</v>
      </c>
      <c r="E31">
        <f t="shared" si="0"/>
        <v>29</v>
      </c>
      <c r="F31">
        <f t="shared" si="1"/>
        <v>2496204</v>
      </c>
      <c r="G31">
        <f t="shared" si="2"/>
        <v>1291140</v>
      </c>
    </row>
    <row r="32" spans="1:7">
      <c r="A32" t="s">
        <v>37</v>
      </c>
      <c r="B32">
        <v>7585</v>
      </c>
      <c r="C32">
        <v>6</v>
      </c>
      <c r="D32">
        <v>44</v>
      </c>
      <c r="E32">
        <f t="shared" si="0"/>
        <v>38</v>
      </c>
      <c r="F32">
        <f t="shared" si="1"/>
        <v>288230</v>
      </c>
      <c r="G32">
        <f t="shared" si="2"/>
        <v>45510</v>
      </c>
    </row>
    <row r="33" spans="1:7">
      <c r="A33" t="s">
        <v>352</v>
      </c>
      <c r="B33">
        <v>1720313</v>
      </c>
      <c r="C33">
        <v>11</v>
      </c>
      <c r="D33">
        <v>14</v>
      </c>
      <c r="E33">
        <f t="shared" si="0"/>
        <v>3</v>
      </c>
      <c r="F33">
        <f t="shared" si="1"/>
        <v>5160939</v>
      </c>
      <c r="G33">
        <f t="shared" si="2"/>
        <v>18923443</v>
      </c>
    </row>
    <row r="34" spans="1:7">
      <c r="A34" t="s">
        <v>41</v>
      </c>
      <c r="B34">
        <v>1294</v>
      </c>
      <c r="C34">
        <v>3</v>
      </c>
      <c r="D34">
        <v>14</v>
      </c>
      <c r="E34">
        <f t="shared" si="0"/>
        <v>11</v>
      </c>
      <c r="F34">
        <f t="shared" si="1"/>
        <v>14234</v>
      </c>
      <c r="G34">
        <f t="shared" si="2"/>
        <v>3882</v>
      </c>
    </row>
    <row r="35" spans="1:7">
      <c r="A35" t="s">
        <v>197</v>
      </c>
      <c r="B35">
        <v>1387894</v>
      </c>
      <c r="C35">
        <v>33</v>
      </c>
      <c r="D35">
        <v>40</v>
      </c>
      <c r="E35">
        <f t="shared" si="0"/>
        <v>7</v>
      </c>
      <c r="F35">
        <f t="shared" si="1"/>
        <v>9715258</v>
      </c>
      <c r="G35">
        <f t="shared" si="2"/>
        <v>45800502</v>
      </c>
    </row>
    <row r="36" spans="1:7">
      <c r="A36" t="s">
        <v>50</v>
      </c>
      <c r="B36">
        <v>331501</v>
      </c>
      <c r="C36">
        <v>7</v>
      </c>
      <c r="D36">
        <v>40</v>
      </c>
      <c r="E36">
        <f t="shared" si="0"/>
        <v>33</v>
      </c>
      <c r="F36">
        <f t="shared" si="1"/>
        <v>10939533</v>
      </c>
      <c r="G36">
        <f t="shared" si="2"/>
        <v>2320507</v>
      </c>
    </row>
    <row r="37" spans="1:7">
      <c r="A37" t="s">
        <v>101</v>
      </c>
      <c r="B37">
        <v>962799</v>
      </c>
      <c r="C37">
        <v>32</v>
      </c>
      <c r="D37">
        <v>55</v>
      </c>
      <c r="E37">
        <f t="shared" si="0"/>
        <v>23</v>
      </c>
      <c r="F37">
        <f t="shared" si="1"/>
        <v>22144377</v>
      </c>
      <c r="G37">
        <f t="shared" si="2"/>
        <v>30809568</v>
      </c>
    </row>
    <row r="38" spans="1:7">
      <c r="A38" t="s">
        <v>76</v>
      </c>
      <c r="B38">
        <v>754488</v>
      </c>
      <c r="C38">
        <v>23</v>
      </c>
      <c r="D38">
        <v>55</v>
      </c>
      <c r="E38">
        <f t="shared" si="0"/>
        <v>32</v>
      </c>
      <c r="F38">
        <f t="shared" si="1"/>
        <v>24143616</v>
      </c>
      <c r="G38">
        <f t="shared" si="2"/>
        <v>17353224</v>
      </c>
    </row>
    <row r="39" spans="1:7">
      <c r="A39" t="s">
        <v>331</v>
      </c>
      <c r="B39">
        <v>1513223</v>
      </c>
      <c r="C39">
        <v>18</v>
      </c>
      <c r="D39">
        <v>26</v>
      </c>
      <c r="E39">
        <f t="shared" si="0"/>
        <v>8</v>
      </c>
      <c r="F39">
        <f t="shared" si="1"/>
        <v>12105784</v>
      </c>
      <c r="G39">
        <f t="shared" si="2"/>
        <v>27238014</v>
      </c>
    </row>
    <row r="40" spans="1:7">
      <c r="A40" t="s">
        <v>48</v>
      </c>
      <c r="B40">
        <v>29007</v>
      </c>
      <c r="C40">
        <v>8</v>
      </c>
      <c r="D40">
        <v>26</v>
      </c>
      <c r="E40">
        <f t="shared" si="0"/>
        <v>18</v>
      </c>
      <c r="F40">
        <f t="shared" si="1"/>
        <v>522126</v>
      </c>
      <c r="G40">
        <f t="shared" si="2"/>
        <v>232056</v>
      </c>
    </row>
    <row r="41" spans="1:7">
      <c r="A41" t="s">
        <v>322</v>
      </c>
      <c r="B41">
        <v>1376343</v>
      </c>
      <c r="C41">
        <v>26</v>
      </c>
      <c r="D41">
        <v>29</v>
      </c>
      <c r="E41">
        <f t="shared" si="0"/>
        <v>3</v>
      </c>
      <c r="F41">
        <f t="shared" si="1"/>
        <v>4129029</v>
      </c>
      <c r="G41">
        <f t="shared" si="2"/>
        <v>35784918</v>
      </c>
    </row>
    <row r="42" spans="1:7">
      <c r="A42" t="s">
        <v>52</v>
      </c>
      <c r="B42">
        <v>47239</v>
      </c>
      <c r="C42">
        <v>3</v>
      </c>
      <c r="D42">
        <v>29</v>
      </c>
      <c r="E42">
        <f t="shared" si="0"/>
        <v>26</v>
      </c>
      <c r="F42">
        <f t="shared" si="1"/>
        <v>1228214</v>
      </c>
      <c r="G42">
        <f t="shared" si="2"/>
        <v>141717</v>
      </c>
    </row>
    <row r="43" spans="1:7">
      <c r="A43" t="s">
        <v>157</v>
      </c>
      <c r="B43">
        <v>904745</v>
      </c>
      <c r="C43">
        <v>24</v>
      </c>
      <c r="D43">
        <v>43</v>
      </c>
      <c r="E43">
        <f t="shared" si="0"/>
        <v>19</v>
      </c>
      <c r="F43">
        <f t="shared" si="1"/>
        <v>17190155</v>
      </c>
      <c r="G43">
        <f t="shared" si="2"/>
        <v>21713880</v>
      </c>
    </row>
    <row r="44" spans="1:7">
      <c r="A44" t="s">
        <v>82</v>
      </c>
      <c r="B44">
        <v>498580</v>
      </c>
      <c r="C44">
        <v>19</v>
      </c>
      <c r="D44">
        <v>43</v>
      </c>
      <c r="E44">
        <f t="shared" si="0"/>
        <v>24</v>
      </c>
      <c r="F44">
        <f t="shared" si="1"/>
        <v>11965920</v>
      </c>
      <c r="G44">
        <f t="shared" si="2"/>
        <v>9473020</v>
      </c>
    </row>
    <row r="45" spans="1:7">
      <c r="A45" t="s">
        <v>145</v>
      </c>
      <c r="B45">
        <v>861346</v>
      </c>
      <c r="C45">
        <v>36</v>
      </c>
      <c r="D45">
        <v>47</v>
      </c>
      <c r="E45">
        <f t="shared" si="0"/>
        <v>11</v>
      </c>
      <c r="F45">
        <f t="shared" si="1"/>
        <v>9474806</v>
      </c>
      <c r="G45">
        <f t="shared" si="2"/>
        <v>31008456</v>
      </c>
    </row>
    <row r="46" spans="1:7">
      <c r="A46" t="s">
        <v>88</v>
      </c>
      <c r="B46">
        <v>534299</v>
      </c>
      <c r="C46">
        <v>11</v>
      </c>
      <c r="D46">
        <v>47</v>
      </c>
      <c r="E46">
        <f t="shared" si="0"/>
        <v>36</v>
      </c>
      <c r="F46">
        <f t="shared" si="1"/>
        <v>19234764</v>
      </c>
      <c r="G46">
        <f t="shared" si="2"/>
        <v>5877289</v>
      </c>
    </row>
    <row r="47" spans="1:7">
      <c r="A47" t="s">
        <v>190</v>
      </c>
      <c r="B47">
        <v>1012511</v>
      </c>
      <c r="C47">
        <v>31</v>
      </c>
      <c r="D47">
        <v>67</v>
      </c>
      <c r="E47">
        <f t="shared" si="0"/>
        <v>36</v>
      </c>
      <c r="F47">
        <f t="shared" si="1"/>
        <v>36450396</v>
      </c>
      <c r="G47">
        <f t="shared" si="2"/>
        <v>31387841</v>
      </c>
    </row>
    <row r="48" spans="1:7">
      <c r="A48" t="s">
        <v>73</v>
      </c>
      <c r="B48">
        <v>343947</v>
      </c>
      <c r="C48">
        <v>36</v>
      </c>
      <c r="D48">
        <v>67</v>
      </c>
      <c r="E48">
        <f t="shared" si="0"/>
        <v>31</v>
      </c>
      <c r="F48">
        <f t="shared" si="1"/>
        <v>10662357</v>
      </c>
      <c r="G48">
        <f t="shared" si="2"/>
        <v>12382092</v>
      </c>
    </row>
    <row r="49" spans="1:7">
      <c r="A49" t="s">
        <v>112</v>
      </c>
      <c r="B49">
        <v>608535</v>
      </c>
      <c r="C49">
        <v>23</v>
      </c>
      <c r="D49">
        <v>41</v>
      </c>
      <c r="E49">
        <f t="shared" si="0"/>
        <v>18</v>
      </c>
      <c r="F49">
        <f t="shared" si="1"/>
        <v>10953630</v>
      </c>
      <c r="G49">
        <f t="shared" si="2"/>
        <v>13996305</v>
      </c>
    </row>
    <row r="50" spans="1:7">
      <c r="A50" t="s">
        <v>119</v>
      </c>
      <c r="B50">
        <v>630035</v>
      </c>
      <c r="C50">
        <v>12</v>
      </c>
      <c r="D50">
        <v>41</v>
      </c>
      <c r="E50">
        <f t="shared" si="0"/>
        <v>29</v>
      </c>
      <c r="F50">
        <f t="shared" si="1"/>
        <v>18271015</v>
      </c>
      <c r="G50">
        <f t="shared" si="2"/>
        <v>7560420</v>
      </c>
    </row>
    <row r="51" spans="1:7">
      <c r="A51" t="s">
        <v>56</v>
      </c>
      <c r="B51">
        <v>64917</v>
      </c>
      <c r="C51">
        <v>6</v>
      </c>
      <c r="D51">
        <v>41</v>
      </c>
      <c r="E51">
        <f t="shared" si="0"/>
        <v>35</v>
      </c>
      <c r="F51">
        <f t="shared" si="1"/>
        <v>2272095</v>
      </c>
      <c r="G51">
        <f t="shared" si="2"/>
        <v>389502</v>
      </c>
    </row>
    <row r="52" spans="1:7">
      <c r="A52" t="s">
        <v>268</v>
      </c>
      <c r="B52">
        <v>1132617</v>
      </c>
      <c r="C52">
        <v>14</v>
      </c>
      <c r="D52">
        <v>33</v>
      </c>
      <c r="E52">
        <f t="shared" si="0"/>
        <v>19</v>
      </c>
      <c r="F52">
        <f t="shared" si="1"/>
        <v>21519723</v>
      </c>
      <c r="G52">
        <f t="shared" si="2"/>
        <v>15856638</v>
      </c>
    </row>
    <row r="53" spans="1:7">
      <c r="A53" t="s">
        <v>64</v>
      </c>
      <c r="B53">
        <v>146756</v>
      </c>
      <c r="C53">
        <v>19</v>
      </c>
      <c r="D53">
        <v>33</v>
      </c>
      <c r="E53">
        <f t="shared" si="0"/>
        <v>14</v>
      </c>
      <c r="F53">
        <f t="shared" si="1"/>
        <v>2054584</v>
      </c>
      <c r="G53">
        <f t="shared" si="2"/>
        <v>2788364</v>
      </c>
    </row>
    <row r="54" spans="1:7">
      <c r="A54" t="s">
        <v>301</v>
      </c>
      <c r="B54">
        <v>1181983</v>
      </c>
      <c r="C54">
        <v>16</v>
      </c>
      <c r="D54">
        <v>28</v>
      </c>
      <c r="E54">
        <f t="shared" si="0"/>
        <v>12</v>
      </c>
      <c r="F54">
        <f t="shared" si="1"/>
        <v>14183796</v>
      </c>
      <c r="G54">
        <f t="shared" si="2"/>
        <v>18911728</v>
      </c>
    </row>
    <row r="55" spans="1:7">
      <c r="A55" t="s">
        <v>58</v>
      </c>
      <c r="B55">
        <v>85150</v>
      </c>
      <c r="C55">
        <v>12</v>
      </c>
      <c r="D55">
        <v>28</v>
      </c>
      <c r="E55">
        <f t="shared" si="0"/>
        <v>16</v>
      </c>
      <c r="F55">
        <f t="shared" si="1"/>
        <v>1362400</v>
      </c>
      <c r="G55">
        <f t="shared" si="2"/>
        <v>1021800</v>
      </c>
    </row>
    <row r="56" spans="1:7">
      <c r="A56" t="s">
        <v>264</v>
      </c>
      <c r="B56">
        <v>1057000</v>
      </c>
      <c r="C56">
        <v>26</v>
      </c>
      <c r="D56">
        <v>55</v>
      </c>
      <c r="E56">
        <f t="shared" si="0"/>
        <v>29</v>
      </c>
      <c r="F56">
        <f t="shared" si="1"/>
        <v>30653000</v>
      </c>
      <c r="G56">
        <f t="shared" si="2"/>
        <v>27482000</v>
      </c>
    </row>
    <row r="57" spans="1:7">
      <c r="A57" t="s">
        <v>66</v>
      </c>
      <c r="B57">
        <v>93546</v>
      </c>
      <c r="C57">
        <v>14</v>
      </c>
      <c r="D57">
        <v>55</v>
      </c>
      <c r="E57">
        <f t="shared" si="0"/>
        <v>41</v>
      </c>
      <c r="F57">
        <f t="shared" si="1"/>
        <v>3835386</v>
      </c>
      <c r="G57">
        <f t="shared" si="2"/>
        <v>1309644</v>
      </c>
    </row>
    <row r="58" spans="1:7">
      <c r="A58" t="s">
        <v>62</v>
      </c>
      <c r="B58">
        <v>59988</v>
      </c>
      <c r="C58">
        <v>15</v>
      </c>
      <c r="D58">
        <v>55</v>
      </c>
      <c r="E58">
        <f t="shared" si="0"/>
        <v>40</v>
      </c>
      <c r="F58">
        <f t="shared" si="1"/>
        <v>2399520</v>
      </c>
      <c r="G58">
        <f t="shared" si="2"/>
        <v>899820</v>
      </c>
    </row>
    <row r="59" spans="1:7">
      <c r="A59" t="s">
        <v>341</v>
      </c>
      <c r="B59">
        <v>1165941</v>
      </c>
      <c r="C59">
        <v>24</v>
      </c>
      <c r="D59">
        <v>26</v>
      </c>
      <c r="E59">
        <f t="shared" si="0"/>
        <v>2</v>
      </c>
      <c r="F59">
        <f t="shared" si="1"/>
        <v>2331882</v>
      </c>
      <c r="G59">
        <f t="shared" si="2"/>
        <v>27982584</v>
      </c>
    </row>
    <row r="60" spans="1:7">
      <c r="A60" t="s">
        <v>60</v>
      </c>
      <c r="B60">
        <v>13940</v>
      </c>
      <c r="C60">
        <v>2</v>
      </c>
      <c r="D60">
        <v>26</v>
      </c>
      <c r="E60">
        <f t="shared" si="0"/>
        <v>24</v>
      </c>
      <c r="F60">
        <f t="shared" si="1"/>
        <v>334560</v>
      </c>
      <c r="G60">
        <f t="shared" si="2"/>
        <v>27880</v>
      </c>
    </row>
    <row r="61" spans="1:7">
      <c r="A61" t="s">
        <v>198</v>
      </c>
      <c r="B61">
        <v>781762</v>
      </c>
      <c r="C61">
        <v>19</v>
      </c>
      <c r="D61">
        <v>31</v>
      </c>
      <c r="E61">
        <f t="shared" si="0"/>
        <v>12</v>
      </c>
      <c r="F61">
        <f t="shared" si="1"/>
        <v>9381144</v>
      </c>
      <c r="G61">
        <f t="shared" si="2"/>
        <v>14853478</v>
      </c>
    </row>
    <row r="62" spans="1:7">
      <c r="A62" t="s">
        <v>97</v>
      </c>
      <c r="B62">
        <v>329952</v>
      </c>
      <c r="C62">
        <v>12</v>
      </c>
      <c r="D62">
        <v>31</v>
      </c>
      <c r="E62">
        <f t="shared" si="0"/>
        <v>19</v>
      </c>
      <c r="F62">
        <f t="shared" si="1"/>
        <v>6269088</v>
      </c>
      <c r="G62">
        <f t="shared" si="2"/>
        <v>3959424</v>
      </c>
    </row>
    <row r="63" spans="1:7">
      <c r="A63" t="s">
        <v>279</v>
      </c>
      <c r="B63">
        <v>940985</v>
      </c>
      <c r="C63">
        <v>31</v>
      </c>
      <c r="D63">
        <v>34</v>
      </c>
      <c r="E63">
        <f t="shared" si="0"/>
        <v>3</v>
      </c>
      <c r="F63">
        <f t="shared" si="1"/>
        <v>2822955</v>
      </c>
      <c r="G63">
        <f t="shared" si="2"/>
        <v>29170535</v>
      </c>
    </row>
    <row r="64" spans="1:7">
      <c r="A64" t="s">
        <v>80</v>
      </c>
      <c r="B64">
        <v>125548</v>
      </c>
      <c r="C64">
        <v>3</v>
      </c>
      <c r="D64">
        <v>34</v>
      </c>
      <c r="E64">
        <f t="shared" si="0"/>
        <v>31</v>
      </c>
      <c r="F64">
        <f t="shared" si="1"/>
        <v>3891988</v>
      </c>
      <c r="G64">
        <f t="shared" si="2"/>
        <v>376644</v>
      </c>
    </row>
    <row r="65" spans="1:7">
      <c r="A65" t="s">
        <v>326</v>
      </c>
      <c r="B65">
        <v>1024574</v>
      </c>
      <c r="C65">
        <v>16</v>
      </c>
      <c r="D65">
        <v>27</v>
      </c>
      <c r="E65">
        <f t="shared" si="0"/>
        <v>11</v>
      </c>
      <c r="F65">
        <f t="shared" si="1"/>
        <v>11270314</v>
      </c>
      <c r="G65">
        <f t="shared" si="2"/>
        <v>16393184</v>
      </c>
    </row>
    <row r="66" spans="1:7">
      <c r="A66" t="s">
        <v>72</v>
      </c>
      <c r="B66">
        <v>30797</v>
      </c>
      <c r="C66">
        <v>8</v>
      </c>
      <c r="D66">
        <v>27</v>
      </c>
      <c r="E66">
        <f t="shared" si="0"/>
        <v>19</v>
      </c>
      <c r="F66">
        <f t="shared" si="1"/>
        <v>585143</v>
      </c>
      <c r="G66">
        <f t="shared" si="2"/>
        <v>246376</v>
      </c>
    </row>
    <row r="67" spans="1:7">
      <c r="A67" t="s">
        <v>69</v>
      </c>
      <c r="B67">
        <v>7138</v>
      </c>
      <c r="C67">
        <v>2</v>
      </c>
      <c r="D67">
        <v>27</v>
      </c>
      <c r="E67">
        <f t="shared" ref="E67:E130" si="3">D67-C67</f>
        <v>25</v>
      </c>
      <c r="F67">
        <f t="shared" ref="F67:F130" si="4">E67*B67</f>
        <v>178450</v>
      </c>
      <c r="G67">
        <f t="shared" ref="G67:G130" si="5">C67*B67</f>
        <v>14276</v>
      </c>
    </row>
    <row r="68" spans="1:7">
      <c r="A68" t="s">
        <v>67</v>
      </c>
      <c r="B68">
        <v>47</v>
      </c>
      <c r="C68">
        <v>1</v>
      </c>
      <c r="D68">
        <v>27</v>
      </c>
      <c r="E68">
        <f t="shared" si="3"/>
        <v>26</v>
      </c>
      <c r="F68">
        <f t="shared" si="4"/>
        <v>1222</v>
      </c>
      <c r="G68">
        <f t="shared" si="5"/>
        <v>47</v>
      </c>
    </row>
    <row r="69" spans="1:7">
      <c r="A69" t="s">
        <v>128</v>
      </c>
      <c r="B69">
        <v>444706</v>
      </c>
      <c r="C69">
        <v>38</v>
      </c>
      <c r="D69">
        <v>45</v>
      </c>
      <c r="E69">
        <f t="shared" si="3"/>
        <v>7</v>
      </c>
      <c r="F69">
        <f t="shared" si="4"/>
        <v>3112942</v>
      </c>
      <c r="G69">
        <f t="shared" si="5"/>
        <v>16898828</v>
      </c>
    </row>
    <row r="70" spans="1:7">
      <c r="A70" t="s">
        <v>167</v>
      </c>
      <c r="B70">
        <v>615505</v>
      </c>
      <c r="C70">
        <v>7</v>
      </c>
      <c r="D70">
        <v>45</v>
      </c>
      <c r="E70">
        <f t="shared" si="3"/>
        <v>38</v>
      </c>
      <c r="F70">
        <f t="shared" si="4"/>
        <v>23389190</v>
      </c>
      <c r="G70">
        <f t="shared" si="5"/>
        <v>4308535</v>
      </c>
    </row>
    <row r="71" spans="1:7">
      <c r="A71" t="s">
        <v>345</v>
      </c>
      <c r="B71">
        <v>1049687</v>
      </c>
      <c r="C71">
        <v>29</v>
      </c>
      <c r="D71">
        <v>32</v>
      </c>
      <c r="E71">
        <f t="shared" si="3"/>
        <v>3</v>
      </c>
      <c r="F71">
        <f t="shared" si="4"/>
        <v>3149061</v>
      </c>
      <c r="G71">
        <f t="shared" si="5"/>
        <v>30440923</v>
      </c>
    </row>
    <row r="72" spans="1:7">
      <c r="A72" t="s">
        <v>70</v>
      </c>
      <c r="B72">
        <v>8788</v>
      </c>
      <c r="C72">
        <v>3</v>
      </c>
      <c r="D72">
        <v>32</v>
      </c>
      <c r="E72">
        <f t="shared" si="3"/>
        <v>29</v>
      </c>
      <c r="F72">
        <f t="shared" si="4"/>
        <v>254852</v>
      </c>
      <c r="G72">
        <f t="shared" si="5"/>
        <v>26364</v>
      </c>
    </row>
    <row r="73" spans="1:7">
      <c r="A73" t="s">
        <v>302</v>
      </c>
      <c r="B73">
        <v>962435</v>
      </c>
      <c r="C73">
        <v>16</v>
      </c>
      <c r="D73">
        <v>23</v>
      </c>
      <c r="E73">
        <f t="shared" si="3"/>
        <v>7</v>
      </c>
      <c r="F73">
        <f t="shared" si="4"/>
        <v>6737045</v>
      </c>
      <c r="G73">
        <f t="shared" si="5"/>
        <v>15398960</v>
      </c>
    </row>
    <row r="74" spans="1:7">
      <c r="A74" t="s">
        <v>78</v>
      </c>
      <c r="B74">
        <v>84928</v>
      </c>
      <c r="C74">
        <v>7</v>
      </c>
      <c r="D74">
        <v>23</v>
      </c>
      <c r="E74">
        <f t="shared" si="3"/>
        <v>16</v>
      </c>
      <c r="F74">
        <f t="shared" si="4"/>
        <v>1358848</v>
      </c>
      <c r="G74">
        <f t="shared" si="5"/>
        <v>594496</v>
      </c>
    </row>
    <row r="75" spans="1:7">
      <c r="A75" t="s">
        <v>159</v>
      </c>
      <c r="B75">
        <v>470898</v>
      </c>
      <c r="C75">
        <v>30</v>
      </c>
      <c r="D75">
        <v>42</v>
      </c>
      <c r="E75">
        <f t="shared" si="3"/>
        <v>12</v>
      </c>
      <c r="F75">
        <f t="shared" si="4"/>
        <v>5650776</v>
      </c>
      <c r="G75">
        <f t="shared" si="5"/>
        <v>14126940</v>
      </c>
    </row>
    <row r="76" spans="1:7">
      <c r="A76" t="s">
        <v>84</v>
      </c>
      <c r="B76">
        <v>70106</v>
      </c>
      <c r="C76">
        <v>11</v>
      </c>
      <c r="D76">
        <v>42</v>
      </c>
      <c r="E76">
        <f t="shared" si="3"/>
        <v>31</v>
      </c>
      <c r="F76">
        <f t="shared" si="4"/>
        <v>2173286</v>
      </c>
      <c r="G76">
        <f t="shared" si="5"/>
        <v>771166</v>
      </c>
    </row>
    <row r="77" spans="1:7">
      <c r="A77" t="s">
        <v>144</v>
      </c>
      <c r="B77">
        <v>420032</v>
      </c>
      <c r="C77">
        <v>1</v>
      </c>
      <c r="D77">
        <v>42</v>
      </c>
      <c r="E77">
        <f t="shared" si="3"/>
        <v>41</v>
      </c>
      <c r="F77">
        <f t="shared" si="4"/>
        <v>17221312</v>
      </c>
      <c r="G77">
        <f t="shared" si="5"/>
        <v>420032</v>
      </c>
    </row>
    <row r="78" spans="1:7">
      <c r="A78" t="s">
        <v>226</v>
      </c>
      <c r="B78">
        <v>713880</v>
      </c>
      <c r="C78">
        <v>11</v>
      </c>
      <c r="D78">
        <v>24</v>
      </c>
      <c r="E78">
        <f t="shared" si="3"/>
        <v>13</v>
      </c>
      <c r="F78">
        <f t="shared" si="4"/>
        <v>9280440</v>
      </c>
      <c r="G78">
        <f t="shared" si="5"/>
        <v>7852680</v>
      </c>
    </row>
    <row r="79" spans="1:7">
      <c r="A79" t="s">
        <v>108</v>
      </c>
      <c r="B79">
        <v>240412</v>
      </c>
      <c r="C79">
        <v>13</v>
      </c>
      <c r="D79">
        <v>24</v>
      </c>
      <c r="E79">
        <f t="shared" si="3"/>
        <v>11</v>
      </c>
      <c r="F79">
        <f t="shared" si="4"/>
        <v>2644532</v>
      </c>
      <c r="G79">
        <f t="shared" si="5"/>
        <v>3125356</v>
      </c>
    </row>
    <row r="80" spans="1:7">
      <c r="A80" t="s">
        <v>130</v>
      </c>
      <c r="B80">
        <v>341652</v>
      </c>
      <c r="C80">
        <v>42</v>
      </c>
      <c r="D80">
        <v>55</v>
      </c>
      <c r="E80">
        <f t="shared" si="3"/>
        <v>13</v>
      </c>
      <c r="F80">
        <f t="shared" si="4"/>
        <v>4441476</v>
      </c>
      <c r="G80">
        <f t="shared" si="5"/>
        <v>14349384</v>
      </c>
    </row>
    <row r="81" spans="1:7">
      <c r="A81" t="s">
        <v>192</v>
      </c>
      <c r="B81">
        <v>611198</v>
      </c>
      <c r="C81">
        <v>13</v>
      </c>
      <c r="D81">
        <v>55</v>
      </c>
      <c r="E81">
        <f t="shared" si="3"/>
        <v>42</v>
      </c>
      <c r="F81">
        <f t="shared" si="4"/>
        <v>25670316</v>
      </c>
      <c r="G81">
        <f t="shared" si="5"/>
        <v>7945574</v>
      </c>
    </row>
    <row r="82" spans="1:7">
      <c r="A82" t="s">
        <v>285</v>
      </c>
      <c r="B82">
        <v>827739</v>
      </c>
      <c r="C82">
        <v>25</v>
      </c>
      <c r="D82">
        <v>39</v>
      </c>
      <c r="E82">
        <f t="shared" si="3"/>
        <v>14</v>
      </c>
      <c r="F82">
        <f t="shared" si="4"/>
        <v>11588346</v>
      </c>
      <c r="G82">
        <f t="shared" si="5"/>
        <v>20693475</v>
      </c>
    </row>
    <row r="83" spans="1:7">
      <c r="A83" t="s">
        <v>92</v>
      </c>
      <c r="B83">
        <v>110603</v>
      </c>
      <c r="C83">
        <v>14</v>
      </c>
      <c r="D83">
        <v>39</v>
      </c>
      <c r="E83">
        <f t="shared" si="3"/>
        <v>25</v>
      </c>
      <c r="F83">
        <f t="shared" si="4"/>
        <v>2765075</v>
      </c>
      <c r="G83">
        <f t="shared" si="5"/>
        <v>1548442</v>
      </c>
    </row>
    <row r="84" spans="1:7">
      <c r="A84" t="s">
        <v>237</v>
      </c>
      <c r="B84">
        <v>694713</v>
      </c>
      <c r="C84">
        <v>33</v>
      </c>
      <c r="D84">
        <v>75</v>
      </c>
      <c r="E84">
        <f t="shared" si="3"/>
        <v>42</v>
      </c>
      <c r="F84">
        <f t="shared" si="4"/>
        <v>29177946</v>
      </c>
      <c r="G84">
        <f t="shared" si="5"/>
        <v>22925529</v>
      </c>
    </row>
    <row r="85" spans="1:7">
      <c r="A85" t="s">
        <v>113</v>
      </c>
      <c r="B85">
        <v>224601</v>
      </c>
      <c r="C85">
        <v>42</v>
      </c>
      <c r="D85">
        <v>75</v>
      </c>
      <c r="E85">
        <f t="shared" si="3"/>
        <v>33</v>
      </c>
      <c r="F85">
        <f t="shared" si="4"/>
        <v>7411833</v>
      </c>
      <c r="G85">
        <f t="shared" si="5"/>
        <v>9433242</v>
      </c>
    </row>
    <row r="86" spans="1:7">
      <c r="A86" t="s">
        <v>320</v>
      </c>
      <c r="B86">
        <v>858033</v>
      </c>
      <c r="C86">
        <v>19</v>
      </c>
      <c r="D86">
        <v>37</v>
      </c>
      <c r="E86">
        <f t="shared" si="3"/>
        <v>18</v>
      </c>
      <c r="F86">
        <f t="shared" si="4"/>
        <v>15444594</v>
      </c>
      <c r="G86">
        <f t="shared" si="5"/>
        <v>16302627</v>
      </c>
    </row>
    <row r="87" spans="1:7">
      <c r="A87" t="s">
        <v>90</v>
      </c>
      <c r="B87">
        <v>53114</v>
      </c>
      <c r="C87">
        <v>18</v>
      </c>
      <c r="D87">
        <v>37</v>
      </c>
      <c r="E87">
        <f t="shared" si="3"/>
        <v>19</v>
      </c>
      <c r="F87">
        <f t="shared" si="4"/>
        <v>1009166</v>
      </c>
      <c r="G87">
        <f t="shared" si="5"/>
        <v>956052</v>
      </c>
    </row>
    <row r="88" spans="1:7">
      <c r="A88" t="s">
        <v>294</v>
      </c>
      <c r="B88">
        <v>792017</v>
      </c>
      <c r="C88">
        <v>3</v>
      </c>
      <c r="D88">
        <v>34</v>
      </c>
      <c r="E88">
        <f t="shared" si="3"/>
        <v>31</v>
      </c>
      <c r="F88">
        <f t="shared" si="4"/>
        <v>24552527</v>
      </c>
      <c r="G88">
        <f t="shared" si="5"/>
        <v>2376051</v>
      </c>
    </row>
    <row r="89" spans="1:7">
      <c r="A89" t="s">
        <v>94</v>
      </c>
      <c r="B89">
        <v>77632</v>
      </c>
      <c r="C89">
        <v>10</v>
      </c>
      <c r="D89">
        <v>34</v>
      </c>
      <c r="E89">
        <f t="shared" si="3"/>
        <v>24</v>
      </c>
      <c r="F89">
        <f t="shared" si="4"/>
        <v>1863168</v>
      </c>
      <c r="G89">
        <f t="shared" si="5"/>
        <v>776320</v>
      </c>
    </row>
    <row r="90" spans="1:7">
      <c r="A90" t="s">
        <v>86</v>
      </c>
      <c r="B90">
        <v>22571</v>
      </c>
      <c r="C90">
        <v>21</v>
      </c>
      <c r="D90">
        <v>34</v>
      </c>
      <c r="E90">
        <f t="shared" si="3"/>
        <v>13</v>
      </c>
      <c r="F90">
        <f t="shared" si="4"/>
        <v>293423</v>
      </c>
      <c r="G90">
        <f t="shared" si="5"/>
        <v>473991</v>
      </c>
    </row>
    <row r="91" spans="1:7">
      <c r="A91" t="s">
        <v>289</v>
      </c>
      <c r="B91">
        <v>762579</v>
      </c>
      <c r="C91">
        <v>28</v>
      </c>
      <c r="D91">
        <v>46</v>
      </c>
      <c r="E91">
        <f t="shared" si="3"/>
        <v>18</v>
      </c>
      <c r="F91">
        <f t="shared" si="4"/>
        <v>13726422</v>
      </c>
      <c r="G91">
        <f t="shared" si="5"/>
        <v>21352212</v>
      </c>
    </row>
    <row r="92" spans="1:7">
      <c r="A92" t="s">
        <v>99</v>
      </c>
      <c r="B92">
        <v>106131</v>
      </c>
      <c r="C92">
        <v>18</v>
      </c>
      <c r="D92">
        <v>46</v>
      </c>
      <c r="E92">
        <f t="shared" si="3"/>
        <v>28</v>
      </c>
      <c r="F92">
        <f t="shared" si="4"/>
        <v>2971668</v>
      </c>
      <c r="G92">
        <f t="shared" si="5"/>
        <v>1910358</v>
      </c>
    </row>
    <row r="93" spans="1:7">
      <c r="A93" t="s">
        <v>324</v>
      </c>
      <c r="B93">
        <v>792760</v>
      </c>
      <c r="C93">
        <v>18</v>
      </c>
      <c r="D93">
        <v>24</v>
      </c>
      <c r="E93">
        <f t="shared" si="3"/>
        <v>6</v>
      </c>
      <c r="F93">
        <f t="shared" si="4"/>
        <v>4756560</v>
      </c>
      <c r="G93">
        <f t="shared" si="5"/>
        <v>14269680</v>
      </c>
    </row>
    <row r="94" spans="1:7">
      <c r="A94" t="s">
        <v>95</v>
      </c>
      <c r="B94">
        <v>44570</v>
      </c>
      <c r="C94">
        <v>6</v>
      </c>
      <c r="D94">
        <v>24</v>
      </c>
      <c r="E94">
        <f t="shared" si="3"/>
        <v>18</v>
      </c>
      <c r="F94">
        <f t="shared" si="4"/>
        <v>802260</v>
      </c>
      <c r="G94">
        <f t="shared" si="5"/>
        <v>267420</v>
      </c>
    </row>
    <row r="95" spans="1:7">
      <c r="A95" t="s">
        <v>295</v>
      </c>
      <c r="B95">
        <v>727548</v>
      </c>
      <c r="C95">
        <v>29</v>
      </c>
      <c r="D95">
        <v>42</v>
      </c>
      <c r="E95">
        <f t="shared" si="3"/>
        <v>13</v>
      </c>
      <c r="F95">
        <f t="shared" si="4"/>
        <v>9458124</v>
      </c>
      <c r="G95">
        <f t="shared" si="5"/>
        <v>21098892</v>
      </c>
    </row>
    <row r="96" spans="1:7">
      <c r="A96" t="s">
        <v>104</v>
      </c>
      <c r="B96">
        <v>99476</v>
      </c>
      <c r="C96">
        <v>13</v>
      </c>
      <c r="D96">
        <v>42</v>
      </c>
      <c r="E96">
        <f t="shared" si="3"/>
        <v>29</v>
      </c>
      <c r="F96">
        <f t="shared" si="4"/>
        <v>2884804</v>
      </c>
      <c r="G96">
        <f t="shared" si="5"/>
        <v>1293188</v>
      </c>
    </row>
    <row r="97" spans="1:7">
      <c r="A97" t="s">
        <v>293</v>
      </c>
      <c r="B97">
        <v>720217</v>
      </c>
      <c r="C97">
        <v>57</v>
      </c>
      <c r="D97">
        <v>68</v>
      </c>
      <c r="E97">
        <f t="shared" si="3"/>
        <v>11</v>
      </c>
      <c r="F97">
        <f t="shared" si="4"/>
        <v>7922387</v>
      </c>
      <c r="G97">
        <f t="shared" si="5"/>
        <v>41052369</v>
      </c>
    </row>
    <row r="98" spans="1:7">
      <c r="A98" t="s">
        <v>106</v>
      </c>
      <c r="B98">
        <v>102712</v>
      </c>
      <c r="C98">
        <v>11</v>
      </c>
      <c r="D98">
        <v>68</v>
      </c>
      <c r="E98">
        <f t="shared" si="3"/>
        <v>57</v>
      </c>
      <c r="F98">
        <f t="shared" si="4"/>
        <v>5854584</v>
      </c>
      <c r="G98">
        <f t="shared" si="5"/>
        <v>1129832</v>
      </c>
    </row>
    <row r="99" spans="1:7">
      <c r="A99" t="s">
        <v>304</v>
      </c>
      <c r="B99">
        <v>737451</v>
      </c>
      <c r="C99">
        <v>19</v>
      </c>
      <c r="D99">
        <v>47</v>
      </c>
      <c r="E99">
        <f t="shared" si="3"/>
        <v>28</v>
      </c>
      <c r="F99">
        <f t="shared" si="4"/>
        <v>20648628</v>
      </c>
      <c r="G99">
        <f t="shared" si="5"/>
        <v>14011569</v>
      </c>
    </row>
    <row r="100" spans="1:7">
      <c r="A100" t="s">
        <v>102</v>
      </c>
      <c r="B100">
        <v>82297</v>
      </c>
      <c r="C100">
        <v>28</v>
      </c>
      <c r="D100">
        <v>47</v>
      </c>
      <c r="E100">
        <f t="shared" si="3"/>
        <v>19</v>
      </c>
      <c r="F100">
        <f t="shared" si="4"/>
        <v>1563643</v>
      </c>
      <c r="G100">
        <f t="shared" si="5"/>
        <v>2304316</v>
      </c>
    </row>
    <row r="101" spans="1:7">
      <c r="A101" t="s">
        <v>207</v>
      </c>
      <c r="B101">
        <v>504147</v>
      </c>
      <c r="C101">
        <v>26</v>
      </c>
      <c r="D101">
        <v>35</v>
      </c>
      <c r="E101">
        <f t="shared" si="3"/>
        <v>9</v>
      </c>
      <c r="F101">
        <f t="shared" si="4"/>
        <v>4537323</v>
      </c>
      <c r="G101">
        <f t="shared" si="5"/>
        <v>13107822</v>
      </c>
    </row>
    <row r="102" spans="1:7">
      <c r="A102" t="s">
        <v>155</v>
      </c>
      <c r="B102">
        <v>289721</v>
      </c>
      <c r="C102">
        <v>9</v>
      </c>
      <c r="D102">
        <v>35</v>
      </c>
      <c r="E102">
        <f t="shared" si="3"/>
        <v>26</v>
      </c>
      <c r="F102">
        <f t="shared" si="4"/>
        <v>7532746</v>
      </c>
      <c r="G102">
        <f t="shared" si="5"/>
        <v>2607489</v>
      </c>
    </row>
    <row r="103" spans="1:7">
      <c r="A103" t="s">
        <v>227</v>
      </c>
      <c r="B103">
        <v>557152</v>
      </c>
      <c r="C103">
        <v>5</v>
      </c>
      <c r="D103">
        <v>11</v>
      </c>
      <c r="E103">
        <f t="shared" si="3"/>
        <v>6</v>
      </c>
      <c r="F103">
        <f t="shared" si="4"/>
        <v>3342912</v>
      </c>
      <c r="G103">
        <f t="shared" si="5"/>
        <v>2785760</v>
      </c>
    </row>
    <row r="104" spans="1:7">
      <c r="A104" t="s">
        <v>142</v>
      </c>
      <c r="B104">
        <v>235435</v>
      </c>
      <c r="C104">
        <v>6</v>
      </c>
      <c r="D104">
        <v>11</v>
      </c>
      <c r="E104">
        <f t="shared" si="3"/>
        <v>5</v>
      </c>
      <c r="F104">
        <f t="shared" si="4"/>
        <v>1177175</v>
      </c>
      <c r="G104">
        <f t="shared" si="5"/>
        <v>1412610</v>
      </c>
    </row>
    <row r="105" spans="1:7">
      <c r="A105" t="s">
        <v>123</v>
      </c>
      <c r="B105">
        <v>121763</v>
      </c>
      <c r="C105">
        <v>17</v>
      </c>
      <c r="D105">
        <v>34</v>
      </c>
      <c r="E105">
        <f t="shared" si="3"/>
        <v>17</v>
      </c>
      <c r="F105">
        <f t="shared" si="4"/>
        <v>2069971</v>
      </c>
      <c r="G105">
        <f t="shared" si="5"/>
        <v>2069971</v>
      </c>
    </row>
    <row r="106" spans="1:7">
      <c r="A106" t="s">
        <v>183</v>
      </c>
      <c r="B106">
        <v>417476</v>
      </c>
      <c r="C106">
        <v>4</v>
      </c>
      <c r="D106">
        <v>34</v>
      </c>
      <c r="E106">
        <f t="shared" si="3"/>
        <v>30</v>
      </c>
      <c r="F106">
        <f t="shared" si="4"/>
        <v>12524280</v>
      </c>
      <c r="G106">
        <f t="shared" si="5"/>
        <v>1669904</v>
      </c>
    </row>
    <row r="107" spans="1:7">
      <c r="A107" t="s">
        <v>124</v>
      </c>
      <c r="B107">
        <v>123062</v>
      </c>
      <c r="C107">
        <v>10</v>
      </c>
      <c r="D107">
        <v>34</v>
      </c>
      <c r="E107">
        <f t="shared" si="3"/>
        <v>24</v>
      </c>
      <c r="F107">
        <f t="shared" si="4"/>
        <v>2953488</v>
      </c>
      <c r="G107">
        <f t="shared" si="5"/>
        <v>1230620</v>
      </c>
    </row>
    <row r="108" spans="1:7">
      <c r="A108" t="s">
        <v>121</v>
      </c>
      <c r="B108">
        <v>117338</v>
      </c>
      <c r="C108">
        <v>3</v>
      </c>
      <c r="D108">
        <v>34</v>
      </c>
      <c r="E108">
        <f t="shared" si="3"/>
        <v>31</v>
      </c>
      <c r="F108">
        <f t="shared" si="4"/>
        <v>3637478</v>
      </c>
      <c r="G108">
        <f t="shared" si="5"/>
        <v>352014</v>
      </c>
    </row>
    <row r="109" spans="1:7">
      <c r="A109" t="s">
        <v>261</v>
      </c>
      <c r="B109">
        <v>603717</v>
      </c>
      <c r="C109">
        <v>18</v>
      </c>
      <c r="D109">
        <v>49</v>
      </c>
      <c r="E109">
        <f t="shared" si="3"/>
        <v>31</v>
      </c>
      <c r="F109">
        <f t="shared" si="4"/>
        <v>18715227</v>
      </c>
      <c r="G109">
        <f t="shared" si="5"/>
        <v>10866906</v>
      </c>
    </row>
    <row r="110" spans="1:7">
      <c r="A110" t="s">
        <v>136</v>
      </c>
      <c r="B110">
        <v>167764</v>
      </c>
      <c r="C110">
        <v>31</v>
      </c>
      <c r="D110">
        <v>49</v>
      </c>
      <c r="E110">
        <f t="shared" si="3"/>
        <v>18</v>
      </c>
      <c r="F110">
        <f t="shared" si="4"/>
        <v>3019752</v>
      </c>
      <c r="G110">
        <f t="shared" si="5"/>
        <v>5200684</v>
      </c>
    </row>
    <row r="111" spans="1:7">
      <c r="A111" t="s">
        <v>148</v>
      </c>
      <c r="B111">
        <v>233489</v>
      </c>
      <c r="C111">
        <v>10</v>
      </c>
      <c r="D111">
        <v>12</v>
      </c>
      <c r="E111">
        <f t="shared" si="3"/>
        <v>2</v>
      </c>
      <c r="F111">
        <f t="shared" si="4"/>
        <v>466978</v>
      </c>
      <c r="G111">
        <f t="shared" si="5"/>
        <v>2334890</v>
      </c>
    </row>
    <row r="112" spans="1:7">
      <c r="A112" t="s">
        <v>230</v>
      </c>
      <c r="B112">
        <v>528078</v>
      </c>
      <c r="C112">
        <v>2</v>
      </c>
      <c r="D112">
        <v>12</v>
      </c>
      <c r="E112">
        <f t="shared" si="3"/>
        <v>10</v>
      </c>
      <c r="F112">
        <f t="shared" si="4"/>
        <v>5280780</v>
      </c>
      <c r="G112">
        <f t="shared" si="5"/>
        <v>1056156</v>
      </c>
    </row>
    <row r="113" spans="1:7">
      <c r="A113" t="s">
        <v>174</v>
      </c>
      <c r="B113">
        <v>334635</v>
      </c>
      <c r="C113">
        <v>30</v>
      </c>
      <c r="D113">
        <v>48</v>
      </c>
      <c r="E113">
        <f t="shared" si="3"/>
        <v>18</v>
      </c>
      <c r="F113">
        <f t="shared" si="4"/>
        <v>6023430</v>
      </c>
      <c r="G113">
        <f t="shared" si="5"/>
        <v>10039050</v>
      </c>
    </row>
    <row r="114" spans="1:7">
      <c r="A114" t="s">
        <v>193</v>
      </c>
      <c r="B114">
        <v>421625</v>
      </c>
      <c r="C114">
        <v>18</v>
      </c>
      <c r="D114">
        <v>48</v>
      </c>
      <c r="E114">
        <f t="shared" si="3"/>
        <v>30</v>
      </c>
      <c r="F114">
        <f t="shared" si="4"/>
        <v>12648750</v>
      </c>
      <c r="G114">
        <f t="shared" si="5"/>
        <v>7589250</v>
      </c>
    </row>
    <row r="115" spans="1:7">
      <c r="A115" t="s">
        <v>263</v>
      </c>
      <c r="B115">
        <v>587309</v>
      </c>
      <c r="C115">
        <v>17</v>
      </c>
      <c r="D115">
        <v>28</v>
      </c>
      <c r="E115">
        <f t="shared" si="3"/>
        <v>11</v>
      </c>
      <c r="F115">
        <f t="shared" si="4"/>
        <v>6460399</v>
      </c>
      <c r="G115">
        <f t="shared" si="5"/>
        <v>9984253</v>
      </c>
    </row>
    <row r="116" spans="1:7">
      <c r="A116" t="s">
        <v>140</v>
      </c>
      <c r="B116">
        <v>155233</v>
      </c>
      <c r="C116">
        <v>11</v>
      </c>
      <c r="D116">
        <v>28</v>
      </c>
      <c r="E116">
        <f t="shared" si="3"/>
        <v>17</v>
      </c>
      <c r="F116">
        <f t="shared" si="4"/>
        <v>2638961</v>
      </c>
      <c r="G116">
        <f t="shared" si="5"/>
        <v>1707563</v>
      </c>
    </row>
    <row r="117" spans="1:7">
      <c r="A117" t="s">
        <v>162</v>
      </c>
      <c r="B117">
        <v>257317</v>
      </c>
      <c r="C117">
        <v>19</v>
      </c>
      <c r="D117">
        <v>36</v>
      </c>
      <c r="E117">
        <f t="shared" si="3"/>
        <v>17</v>
      </c>
      <c r="F117">
        <f t="shared" si="4"/>
        <v>4374389</v>
      </c>
      <c r="G117">
        <f t="shared" si="5"/>
        <v>4889023</v>
      </c>
    </row>
    <row r="118" spans="1:7">
      <c r="A118" t="s">
        <v>188</v>
      </c>
      <c r="B118">
        <v>392458</v>
      </c>
      <c r="C118">
        <v>8</v>
      </c>
      <c r="D118">
        <v>36</v>
      </c>
      <c r="E118">
        <f t="shared" si="3"/>
        <v>28</v>
      </c>
      <c r="F118">
        <f t="shared" si="4"/>
        <v>10988824</v>
      </c>
      <c r="G118">
        <f t="shared" si="5"/>
        <v>3139664</v>
      </c>
    </row>
    <row r="119" spans="1:7">
      <c r="A119" t="s">
        <v>125</v>
      </c>
      <c r="B119">
        <v>92280</v>
      </c>
      <c r="C119">
        <v>9</v>
      </c>
      <c r="D119">
        <v>36</v>
      </c>
      <c r="E119">
        <f t="shared" si="3"/>
        <v>27</v>
      </c>
      <c r="F119">
        <f t="shared" si="4"/>
        <v>2491560</v>
      </c>
      <c r="G119">
        <f t="shared" si="5"/>
        <v>830520</v>
      </c>
    </row>
    <row r="120" spans="1:7">
      <c r="A120" t="s">
        <v>267</v>
      </c>
      <c r="B120">
        <v>588318</v>
      </c>
      <c r="C120">
        <v>32</v>
      </c>
      <c r="D120">
        <v>53</v>
      </c>
      <c r="E120">
        <f t="shared" si="3"/>
        <v>21</v>
      </c>
      <c r="F120">
        <f t="shared" si="4"/>
        <v>12354678</v>
      </c>
      <c r="G120">
        <f t="shared" si="5"/>
        <v>18826176</v>
      </c>
    </row>
    <row r="121" spans="1:7">
      <c r="A121" t="s">
        <v>138</v>
      </c>
      <c r="B121">
        <v>146958</v>
      </c>
      <c r="C121">
        <v>21</v>
      </c>
      <c r="D121">
        <v>53</v>
      </c>
      <c r="E121">
        <f t="shared" si="3"/>
        <v>32</v>
      </c>
      <c r="F121">
        <f t="shared" si="4"/>
        <v>4702656</v>
      </c>
      <c r="G121">
        <f t="shared" si="5"/>
        <v>3086118</v>
      </c>
    </row>
    <row r="122" spans="1:7">
      <c r="A122" t="s">
        <v>323</v>
      </c>
      <c r="B122">
        <v>688426</v>
      </c>
      <c r="C122">
        <v>15</v>
      </c>
      <c r="D122">
        <v>41</v>
      </c>
      <c r="E122">
        <f t="shared" si="3"/>
        <v>26</v>
      </c>
      <c r="F122">
        <f t="shared" si="4"/>
        <v>17899076</v>
      </c>
      <c r="G122">
        <f t="shared" si="5"/>
        <v>10326390</v>
      </c>
    </row>
    <row r="123" spans="1:7">
      <c r="A123" t="s">
        <v>115</v>
      </c>
      <c r="B123">
        <v>45467</v>
      </c>
      <c r="C123">
        <v>26</v>
      </c>
      <c r="D123">
        <v>41</v>
      </c>
      <c r="E123">
        <f t="shared" si="3"/>
        <v>15</v>
      </c>
      <c r="F123">
        <f t="shared" si="4"/>
        <v>682005</v>
      </c>
      <c r="G123">
        <f t="shared" si="5"/>
        <v>1182142</v>
      </c>
    </row>
    <row r="124" spans="1:7">
      <c r="A124" t="s">
        <v>180</v>
      </c>
      <c r="B124">
        <v>318430</v>
      </c>
      <c r="C124">
        <v>23</v>
      </c>
      <c r="D124">
        <v>31</v>
      </c>
      <c r="E124">
        <f t="shared" si="3"/>
        <v>8</v>
      </c>
      <c r="F124">
        <f t="shared" si="4"/>
        <v>2547440</v>
      </c>
      <c r="G124">
        <f t="shared" si="5"/>
        <v>7323890</v>
      </c>
    </row>
    <row r="125" spans="1:7">
      <c r="A125" t="s">
        <v>201</v>
      </c>
      <c r="B125">
        <v>406465</v>
      </c>
      <c r="C125">
        <v>8</v>
      </c>
      <c r="D125">
        <v>31</v>
      </c>
      <c r="E125">
        <f t="shared" si="3"/>
        <v>23</v>
      </c>
      <c r="F125">
        <f t="shared" si="4"/>
        <v>9348695</v>
      </c>
      <c r="G125">
        <f t="shared" si="5"/>
        <v>3251720</v>
      </c>
    </row>
    <row r="126" spans="1:7">
      <c r="A126" t="s">
        <v>202</v>
      </c>
      <c r="B126">
        <v>400747</v>
      </c>
      <c r="C126">
        <v>37</v>
      </c>
      <c r="D126">
        <v>46</v>
      </c>
      <c r="E126">
        <f t="shared" si="3"/>
        <v>9</v>
      </c>
      <c r="F126">
        <f t="shared" si="4"/>
        <v>3606723</v>
      </c>
      <c r="G126">
        <f t="shared" si="5"/>
        <v>14827639</v>
      </c>
    </row>
    <row r="127" spans="1:7">
      <c r="A127" t="s">
        <v>176</v>
      </c>
      <c r="B127">
        <v>294815</v>
      </c>
      <c r="C127">
        <v>7</v>
      </c>
      <c r="D127">
        <v>46</v>
      </c>
      <c r="E127">
        <f t="shared" si="3"/>
        <v>39</v>
      </c>
      <c r="F127">
        <f t="shared" si="4"/>
        <v>11497785</v>
      </c>
      <c r="G127">
        <f t="shared" si="5"/>
        <v>2063705</v>
      </c>
    </row>
    <row r="128" spans="1:7">
      <c r="A128" t="s">
        <v>110</v>
      </c>
      <c r="B128">
        <v>17816</v>
      </c>
      <c r="C128">
        <v>2</v>
      </c>
      <c r="D128">
        <v>46</v>
      </c>
      <c r="E128">
        <f t="shared" si="3"/>
        <v>44</v>
      </c>
      <c r="F128">
        <f t="shared" si="4"/>
        <v>783904</v>
      </c>
      <c r="G128">
        <f t="shared" si="5"/>
        <v>35632</v>
      </c>
    </row>
    <row r="129" spans="1:7">
      <c r="A129" t="s">
        <v>206</v>
      </c>
      <c r="B129">
        <v>410301</v>
      </c>
      <c r="C129">
        <v>19</v>
      </c>
      <c r="D129">
        <v>63</v>
      </c>
      <c r="E129">
        <f t="shared" si="3"/>
        <v>44</v>
      </c>
      <c r="F129">
        <f t="shared" si="4"/>
        <v>18053244</v>
      </c>
      <c r="G129">
        <f t="shared" si="5"/>
        <v>7795719</v>
      </c>
    </row>
    <row r="130" spans="1:7">
      <c r="A130" t="s">
        <v>152</v>
      </c>
      <c r="B130">
        <v>193842</v>
      </c>
      <c r="C130">
        <v>37</v>
      </c>
      <c r="D130">
        <v>63</v>
      </c>
      <c r="E130">
        <f t="shared" si="3"/>
        <v>26</v>
      </c>
      <c r="F130">
        <f t="shared" si="4"/>
        <v>5039892</v>
      </c>
      <c r="G130">
        <f t="shared" si="5"/>
        <v>7172154</v>
      </c>
    </row>
    <row r="131" spans="1:7">
      <c r="A131" t="s">
        <v>134</v>
      </c>
      <c r="B131">
        <v>98736</v>
      </c>
      <c r="C131">
        <v>7</v>
      </c>
      <c r="D131">
        <v>63</v>
      </c>
      <c r="E131">
        <f t="shared" ref="E131:E194" si="6">D131-C131</f>
        <v>56</v>
      </c>
      <c r="F131">
        <f t="shared" ref="F131:F194" si="7">E131*B131</f>
        <v>5529216</v>
      </c>
      <c r="G131">
        <f t="shared" ref="G131:G194" si="8">C131*B131</f>
        <v>691152</v>
      </c>
    </row>
    <row r="132" spans="1:7">
      <c r="A132" t="s">
        <v>319</v>
      </c>
      <c r="B132">
        <v>634386</v>
      </c>
      <c r="C132">
        <v>36</v>
      </c>
      <c r="D132">
        <v>45</v>
      </c>
      <c r="E132">
        <f t="shared" si="6"/>
        <v>9</v>
      </c>
      <c r="F132">
        <f t="shared" si="7"/>
        <v>5709474</v>
      </c>
      <c r="G132">
        <f t="shared" si="8"/>
        <v>22837896</v>
      </c>
    </row>
    <row r="133" spans="1:7">
      <c r="A133" t="s">
        <v>127</v>
      </c>
      <c r="B133">
        <v>53808</v>
      </c>
      <c r="C133">
        <v>7</v>
      </c>
      <c r="D133">
        <v>45</v>
      </c>
      <c r="E133">
        <f t="shared" si="6"/>
        <v>38</v>
      </c>
      <c r="F133">
        <f t="shared" si="7"/>
        <v>2044704</v>
      </c>
      <c r="G133">
        <f t="shared" si="8"/>
        <v>376656</v>
      </c>
    </row>
    <row r="134" spans="1:7">
      <c r="A134" t="s">
        <v>117</v>
      </c>
      <c r="B134">
        <v>6355</v>
      </c>
      <c r="C134">
        <v>2</v>
      </c>
      <c r="D134">
        <v>45</v>
      </c>
      <c r="E134">
        <f t="shared" si="6"/>
        <v>43</v>
      </c>
      <c r="F134">
        <f t="shared" si="7"/>
        <v>273265</v>
      </c>
      <c r="G134">
        <f t="shared" si="8"/>
        <v>12710</v>
      </c>
    </row>
    <row r="135" spans="1:7">
      <c r="A135" t="s">
        <v>296</v>
      </c>
      <c r="B135">
        <v>524889</v>
      </c>
      <c r="C135">
        <v>25</v>
      </c>
      <c r="D135">
        <v>28</v>
      </c>
      <c r="E135">
        <f t="shared" si="6"/>
        <v>3</v>
      </c>
      <c r="F135">
        <f t="shared" si="7"/>
        <v>1574667</v>
      </c>
      <c r="G135">
        <f t="shared" si="8"/>
        <v>13122225</v>
      </c>
    </row>
    <row r="136" spans="1:7">
      <c r="A136" t="s">
        <v>150</v>
      </c>
      <c r="B136">
        <v>95534</v>
      </c>
      <c r="C136">
        <v>3</v>
      </c>
      <c r="D136">
        <v>28</v>
      </c>
      <c r="E136">
        <f t="shared" si="6"/>
        <v>25</v>
      </c>
      <c r="F136">
        <f t="shared" si="7"/>
        <v>2388350</v>
      </c>
      <c r="G136">
        <f t="shared" si="8"/>
        <v>286602</v>
      </c>
    </row>
    <row r="137" spans="1:7">
      <c r="A137" t="s">
        <v>346</v>
      </c>
      <c r="B137">
        <v>609053</v>
      </c>
      <c r="C137">
        <v>15</v>
      </c>
      <c r="D137">
        <v>17</v>
      </c>
      <c r="E137">
        <f t="shared" si="6"/>
        <v>2</v>
      </c>
      <c r="F137">
        <f t="shared" si="7"/>
        <v>1218106</v>
      </c>
      <c r="G137">
        <f t="shared" si="8"/>
        <v>9135795</v>
      </c>
    </row>
    <row r="138" spans="1:7">
      <c r="A138" t="s">
        <v>132</v>
      </c>
      <c r="B138">
        <v>7021</v>
      </c>
      <c r="C138">
        <v>2</v>
      </c>
      <c r="D138">
        <v>17</v>
      </c>
      <c r="E138">
        <f t="shared" si="6"/>
        <v>15</v>
      </c>
      <c r="F138">
        <f t="shared" si="7"/>
        <v>105315</v>
      </c>
      <c r="G138">
        <f t="shared" si="8"/>
        <v>14042</v>
      </c>
    </row>
    <row r="139" spans="1:7">
      <c r="A139" t="s">
        <v>182</v>
      </c>
      <c r="B139">
        <v>225405</v>
      </c>
      <c r="C139">
        <v>24</v>
      </c>
      <c r="D139">
        <v>55</v>
      </c>
      <c r="E139">
        <f t="shared" si="6"/>
        <v>31</v>
      </c>
      <c r="F139">
        <f t="shared" si="7"/>
        <v>6987555</v>
      </c>
      <c r="G139">
        <f t="shared" si="8"/>
        <v>5409720</v>
      </c>
    </row>
    <row r="140" spans="1:7">
      <c r="A140" t="s">
        <v>191</v>
      </c>
      <c r="B140">
        <v>262503</v>
      </c>
      <c r="C140">
        <v>14</v>
      </c>
      <c r="D140">
        <v>55</v>
      </c>
      <c r="E140">
        <f t="shared" si="6"/>
        <v>41</v>
      </c>
      <c r="F140">
        <f t="shared" si="7"/>
        <v>10762623</v>
      </c>
      <c r="G140">
        <f t="shared" si="8"/>
        <v>3675042</v>
      </c>
    </row>
    <row r="141" spans="1:7">
      <c r="A141" t="s">
        <v>160</v>
      </c>
      <c r="B141">
        <v>117150</v>
      </c>
      <c r="C141">
        <v>17</v>
      </c>
      <c r="D141">
        <v>55</v>
      </c>
      <c r="E141">
        <f t="shared" si="6"/>
        <v>38</v>
      </c>
      <c r="F141">
        <f t="shared" si="7"/>
        <v>4451700</v>
      </c>
      <c r="G141">
        <f t="shared" si="8"/>
        <v>1991550</v>
      </c>
    </row>
    <row r="142" spans="1:7">
      <c r="A142" t="s">
        <v>269</v>
      </c>
      <c r="B142">
        <v>428398</v>
      </c>
      <c r="C142">
        <v>8</v>
      </c>
      <c r="D142">
        <v>13</v>
      </c>
      <c r="E142">
        <f t="shared" si="6"/>
        <v>5</v>
      </c>
      <c r="F142">
        <f t="shared" si="7"/>
        <v>2141990</v>
      </c>
      <c r="G142">
        <f t="shared" si="8"/>
        <v>3427184</v>
      </c>
    </row>
    <row r="143" spans="1:7">
      <c r="A143" t="s">
        <v>172</v>
      </c>
      <c r="B143">
        <v>142937</v>
      </c>
      <c r="C143">
        <v>5</v>
      </c>
      <c r="D143">
        <v>13</v>
      </c>
      <c r="E143">
        <f t="shared" si="6"/>
        <v>8</v>
      </c>
      <c r="F143">
        <f t="shared" si="7"/>
        <v>1143496</v>
      </c>
      <c r="G143">
        <f t="shared" si="8"/>
        <v>714685</v>
      </c>
    </row>
    <row r="144" spans="1:7">
      <c r="A144" t="s">
        <v>314</v>
      </c>
      <c r="B144">
        <v>505207</v>
      </c>
      <c r="C144">
        <v>14</v>
      </c>
      <c r="D144">
        <v>48</v>
      </c>
      <c r="E144">
        <f t="shared" si="6"/>
        <v>34</v>
      </c>
      <c r="F144">
        <f t="shared" si="7"/>
        <v>17177038</v>
      </c>
      <c r="G144">
        <f t="shared" si="8"/>
        <v>7072898</v>
      </c>
    </row>
    <row r="145" spans="1:7">
      <c r="A145" t="s">
        <v>153</v>
      </c>
      <c r="B145">
        <v>63905</v>
      </c>
      <c r="C145">
        <v>34</v>
      </c>
      <c r="D145">
        <v>48</v>
      </c>
      <c r="E145">
        <f t="shared" si="6"/>
        <v>14</v>
      </c>
      <c r="F145">
        <f t="shared" si="7"/>
        <v>894670</v>
      </c>
      <c r="G145">
        <f t="shared" si="8"/>
        <v>2172770</v>
      </c>
    </row>
    <row r="146" spans="1:7">
      <c r="A146" t="s">
        <v>211</v>
      </c>
      <c r="B146">
        <v>267752</v>
      </c>
      <c r="C146">
        <v>21</v>
      </c>
      <c r="D146">
        <v>34</v>
      </c>
      <c r="E146">
        <f t="shared" si="6"/>
        <v>13</v>
      </c>
      <c r="F146">
        <f t="shared" si="7"/>
        <v>3480776</v>
      </c>
      <c r="G146">
        <f t="shared" si="8"/>
        <v>5622792</v>
      </c>
    </row>
    <row r="147" spans="1:7">
      <c r="A147" t="s">
        <v>215</v>
      </c>
      <c r="B147">
        <v>282172</v>
      </c>
      <c r="C147">
        <v>13</v>
      </c>
      <c r="D147">
        <v>34</v>
      </c>
      <c r="E147">
        <f t="shared" si="6"/>
        <v>21</v>
      </c>
      <c r="F147">
        <f t="shared" si="7"/>
        <v>5925612</v>
      </c>
      <c r="G147">
        <f t="shared" si="8"/>
        <v>3668236</v>
      </c>
    </row>
    <row r="148" spans="1:7">
      <c r="A148" t="s">
        <v>342</v>
      </c>
      <c r="B148">
        <v>528172</v>
      </c>
      <c r="C148">
        <v>23</v>
      </c>
      <c r="D148">
        <v>28</v>
      </c>
      <c r="E148">
        <f t="shared" si="6"/>
        <v>5</v>
      </c>
      <c r="F148">
        <f t="shared" si="7"/>
        <v>2640860</v>
      </c>
      <c r="G148">
        <f t="shared" si="8"/>
        <v>12147956</v>
      </c>
    </row>
    <row r="149" spans="1:7">
      <c r="A149" t="s">
        <v>146</v>
      </c>
      <c r="B149">
        <v>13552</v>
      </c>
      <c r="C149">
        <v>5</v>
      </c>
      <c r="D149">
        <v>28</v>
      </c>
      <c r="E149">
        <f t="shared" si="6"/>
        <v>23</v>
      </c>
      <c r="F149">
        <f t="shared" si="7"/>
        <v>311696</v>
      </c>
      <c r="G149">
        <f t="shared" si="8"/>
        <v>67760</v>
      </c>
    </row>
    <row r="150" spans="1:7">
      <c r="A150" t="s">
        <v>222</v>
      </c>
      <c r="B150">
        <v>247950</v>
      </c>
      <c r="C150">
        <v>21</v>
      </c>
      <c r="D150">
        <v>38</v>
      </c>
      <c r="E150">
        <f t="shared" si="6"/>
        <v>17</v>
      </c>
      <c r="F150">
        <f t="shared" si="7"/>
        <v>4215150</v>
      </c>
      <c r="G150">
        <f t="shared" si="8"/>
        <v>5206950</v>
      </c>
    </row>
    <row r="151" spans="1:7">
      <c r="A151" t="s">
        <v>220</v>
      </c>
      <c r="B151">
        <v>246163</v>
      </c>
      <c r="C151">
        <v>17</v>
      </c>
      <c r="D151">
        <v>38</v>
      </c>
      <c r="E151">
        <f t="shared" si="6"/>
        <v>21</v>
      </c>
      <c r="F151">
        <f t="shared" si="7"/>
        <v>5169423</v>
      </c>
      <c r="G151">
        <f t="shared" si="8"/>
        <v>4184771</v>
      </c>
    </row>
    <row r="152" spans="1:7">
      <c r="A152" t="s">
        <v>321</v>
      </c>
      <c r="B152">
        <v>442737</v>
      </c>
      <c r="C152">
        <v>27</v>
      </c>
      <c r="D152">
        <v>32</v>
      </c>
      <c r="E152">
        <f t="shared" si="6"/>
        <v>5</v>
      </c>
      <c r="F152">
        <f t="shared" si="7"/>
        <v>2213685</v>
      </c>
      <c r="G152">
        <f t="shared" si="8"/>
        <v>11953899</v>
      </c>
    </row>
    <row r="153" spans="1:7">
      <c r="A153" t="s">
        <v>168</v>
      </c>
      <c r="B153">
        <v>50806</v>
      </c>
      <c r="C153">
        <v>5</v>
      </c>
      <c r="D153">
        <v>32</v>
      </c>
      <c r="E153">
        <f t="shared" si="6"/>
        <v>27</v>
      </c>
      <c r="F153">
        <f t="shared" si="7"/>
        <v>1371762</v>
      </c>
      <c r="G153">
        <f t="shared" si="8"/>
        <v>254030</v>
      </c>
    </row>
    <row r="154" spans="1:7">
      <c r="A154" t="s">
        <v>216</v>
      </c>
      <c r="B154">
        <v>216924</v>
      </c>
      <c r="C154">
        <v>25</v>
      </c>
      <c r="D154">
        <v>40</v>
      </c>
      <c r="E154">
        <f t="shared" si="6"/>
        <v>15</v>
      </c>
      <c r="F154">
        <f t="shared" si="7"/>
        <v>3253860</v>
      </c>
      <c r="G154">
        <f t="shared" si="8"/>
        <v>5423100</v>
      </c>
    </row>
    <row r="155" spans="1:7">
      <c r="A155" t="s">
        <v>217</v>
      </c>
      <c r="B155">
        <v>224369</v>
      </c>
      <c r="C155">
        <v>7</v>
      </c>
      <c r="D155">
        <v>40</v>
      </c>
      <c r="E155">
        <f t="shared" si="6"/>
        <v>33</v>
      </c>
      <c r="F155">
        <f t="shared" si="7"/>
        <v>7404177</v>
      </c>
      <c r="G155">
        <f t="shared" si="8"/>
        <v>1570583</v>
      </c>
    </row>
    <row r="156" spans="1:7">
      <c r="A156" t="s">
        <v>170</v>
      </c>
      <c r="B156">
        <v>35532</v>
      </c>
      <c r="C156">
        <v>8</v>
      </c>
      <c r="D156">
        <v>40</v>
      </c>
      <c r="E156">
        <f t="shared" si="6"/>
        <v>32</v>
      </c>
      <c r="F156">
        <f t="shared" si="7"/>
        <v>1137024</v>
      </c>
      <c r="G156">
        <f t="shared" si="8"/>
        <v>284256</v>
      </c>
    </row>
    <row r="157" spans="1:7">
      <c r="A157" t="s">
        <v>315</v>
      </c>
      <c r="B157">
        <v>407974</v>
      </c>
      <c r="C157">
        <v>7</v>
      </c>
      <c r="D157">
        <v>12</v>
      </c>
      <c r="E157">
        <f t="shared" si="6"/>
        <v>5</v>
      </c>
      <c r="F157">
        <f t="shared" si="7"/>
        <v>2039870</v>
      </c>
      <c r="G157">
        <f t="shared" si="8"/>
        <v>2855818</v>
      </c>
    </row>
    <row r="158" spans="1:7">
      <c r="A158" t="s">
        <v>177</v>
      </c>
      <c r="B158">
        <v>53417</v>
      </c>
      <c r="C158">
        <v>2</v>
      </c>
      <c r="D158">
        <v>12</v>
      </c>
      <c r="E158">
        <f t="shared" si="6"/>
        <v>10</v>
      </c>
      <c r="F158">
        <f t="shared" si="7"/>
        <v>534170</v>
      </c>
      <c r="G158">
        <f t="shared" si="8"/>
        <v>106834</v>
      </c>
    </row>
    <row r="159" spans="1:7">
      <c r="A159" t="s">
        <v>163</v>
      </c>
      <c r="B159">
        <v>8887</v>
      </c>
      <c r="C159">
        <v>3</v>
      </c>
      <c r="D159">
        <v>12</v>
      </c>
      <c r="E159">
        <f t="shared" si="6"/>
        <v>9</v>
      </c>
      <c r="F159">
        <f t="shared" si="7"/>
        <v>79983</v>
      </c>
      <c r="G159">
        <f t="shared" si="8"/>
        <v>26661</v>
      </c>
    </row>
    <row r="160" spans="1:7">
      <c r="A160" t="s">
        <v>276</v>
      </c>
      <c r="B160">
        <v>334500</v>
      </c>
      <c r="C160">
        <v>32</v>
      </c>
      <c r="D160">
        <v>45</v>
      </c>
      <c r="E160">
        <f t="shared" si="6"/>
        <v>13</v>
      </c>
      <c r="F160">
        <f t="shared" si="7"/>
        <v>4348500</v>
      </c>
      <c r="G160">
        <f t="shared" si="8"/>
        <v>10704000</v>
      </c>
    </row>
    <row r="161" spans="1:7">
      <c r="A161" t="s">
        <v>194</v>
      </c>
      <c r="B161">
        <v>133381</v>
      </c>
      <c r="C161">
        <v>13</v>
      </c>
      <c r="D161">
        <v>45</v>
      </c>
      <c r="E161">
        <f t="shared" si="6"/>
        <v>32</v>
      </c>
      <c r="F161">
        <f t="shared" si="7"/>
        <v>4268192</v>
      </c>
      <c r="G161">
        <f t="shared" si="8"/>
        <v>1733953</v>
      </c>
    </row>
    <row r="162" spans="1:7">
      <c r="A162" t="s">
        <v>284</v>
      </c>
      <c r="B162">
        <v>339630</v>
      </c>
      <c r="C162">
        <v>12</v>
      </c>
      <c r="D162">
        <v>38</v>
      </c>
      <c r="E162">
        <f t="shared" si="6"/>
        <v>26</v>
      </c>
      <c r="F162">
        <f t="shared" si="7"/>
        <v>8830380</v>
      </c>
      <c r="G162">
        <f t="shared" si="8"/>
        <v>4075560</v>
      </c>
    </row>
    <row r="163" spans="1:7">
      <c r="A163" t="s">
        <v>189</v>
      </c>
      <c r="B163">
        <v>106892</v>
      </c>
      <c r="C163">
        <v>16</v>
      </c>
      <c r="D163">
        <v>38</v>
      </c>
      <c r="E163">
        <f t="shared" si="6"/>
        <v>22</v>
      </c>
      <c r="F163">
        <f t="shared" si="7"/>
        <v>2351624</v>
      </c>
      <c r="G163">
        <f t="shared" si="8"/>
        <v>1710272</v>
      </c>
    </row>
    <row r="164" spans="1:7">
      <c r="A164" t="s">
        <v>165</v>
      </c>
      <c r="B164">
        <v>4777</v>
      </c>
      <c r="C164">
        <v>10</v>
      </c>
      <c r="D164">
        <v>38</v>
      </c>
      <c r="E164">
        <f t="shared" si="6"/>
        <v>28</v>
      </c>
      <c r="F164">
        <f t="shared" si="7"/>
        <v>133756</v>
      </c>
      <c r="G164">
        <f t="shared" si="8"/>
        <v>47770</v>
      </c>
    </row>
    <row r="165" spans="1:7">
      <c r="A165" t="s">
        <v>240</v>
      </c>
      <c r="B165">
        <v>226948</v>
      </c>
      <c r="C165">
        <v>34</v>
      </c>
      <c r="D165">
        <v>51</v>
      </c>
      <c r="E165">
        <f t="shared" si="6"/>
        <v>17</v>
      </c>
      <c r="F165">
        <f t="shared" si="7"/>
        <v>3858116</v>
      </c>
      <c r="G165">
        <f t="shared" si="8"/>
        <v>7716232</v>
      </c>
    </row>
    <row r="166" spans="1:7">
      <c r="A166" t="s">
        <v>233</v>
      </c>
      <c r="B166">
        <v>213734</v>
      </c>
      <c r="C166">
        <v>17</v>
      </c>
      <c r="D166">
        <v>51</v>
      </c>
      <c r="E166">
        <f t="shared" si="6"/>
        <v>34</v>
      </c>
      <c r="F166">
        <f t="shared" si="7"/>
        <v>7266956</v>
      </c>
      <c r="G166">
        <f t="shared" si="8"/>
        <v>3633478</v>
      </c>
    </row>
    <row r="167" spans="1:7">
      <c r="A167" t="s">
        <v>308</v>
      </c>
      <c r="B167">
        <v>357292</v>
      </c>
      <c r="C167">
        <v>18</v>
      </c>
      <c r="D167">
        <v>33</v>
      </c>
      <c r="E167">
        <f t="shared" si="6"/>
        <v>15</v>
      </c>
      <c r="F167">
        <f t="shared" si="7"/>
        <v>5359380</v>
      </c>
      <c r="G167">
        <f t="shared" si="8"/>
        <v>6431256</v>
      </c>
    </row>
    <row r="168" spans="1:7">
      <c r="A168" t="s">
        <v>186</v>
      </c>
      <c r="B168">
        <v>68982</v>
      </c>
      <c r="C168">
        <v>15</v>
      </c>
      <c r="D168">
        <v>33</v>
      </c>
      <c r="E168">
        <f t="shared" si="6"/>
        <v>18</v>
      </c>
      <c r="F168">
        <f t="shared" si="7"/>
        <v>1241676</v>
      </c>
      <c r="G168">
        <f t="shared" si="8"/>
        <v>1034730</v>
      </c>
    </row>
    <row r="169" spans="1:7">
      <c r="A169" t="s">
        <v>348</v>
      </c>
      <c r="B169">
        <v>414959</v>
      </c>
      <c r="C169">
        <v>50</v>
      </c>
      <c r="D169">
        <v>59</v>
      </c>
      <c r="E169">
        <f t="shared" si="6"/>
        <v>9</v>
      </c>
      <c r="F169">
        <f t="shared" si="7"/>
        <v>3734631</v>
      </c>
      <c r="G169">
        <f t="shared" si="8"/>
        <v>20747950</v>
      </c>
    </row>
    <row r="170" spans="1:7">
      <c r="A170" t="s">
        <v>178</v>
      </c>
      <c r="B170">
        <v>5581</v>
      </c>
      <c r="C170">
        <v>9</v>
      </c>
      <c r="D170">
        <v>59</v>
      </c>
      <c r="E170">
        <f t="shared" si="6"/>
        <v>50</v>
      </c>
      <c r="F170">
        <f t="shared" si="7"/>
        <v>279050</v>
      </c>
      <c r="G170">
        <f t="shared" si="8"/>
        <v>50229</v>
      </c>
    </row>
    <row r="171" spans="1:7">
      <c r="A171" t="s">
        <v>254</v>
      </c>
      <c r="B171">
        <v>226145</v>
      </c>
      <c r="C171">
        <v>23</v>
      </c>
      <c r="D171">
        <v>45</v>
      </c>
      <c r="E171">
        <f t="shared" si="6"/>
        <v>22</v>
      </c>
      <c r="F171">
        <f t="shared" si="7"/>
        <v>4975190</v>
      </c>
      <c r="G171">
        <f t="shared" si="8"/>
        <v>5201335</v>
      </c>
    </row>
    <row r="172" spans="1:7">
      <c r="A172" t="s">
        <v>203</v>
      </c>
      <c r="B172">
        <v>95210</v>
      </c>
      <c r="C172">
        <v>17</v>
      </c>
      <c r="D172">
        <v>45</v>
      </c>
      <c r="E172">
        <f t="shared" si="6"/>
        <v>28</v>
      </c>
      <c r="F172">
        <f t="shared" si="7"/>
        <v>2665880</v>
      </c>
      <c r="G172">
        <f t="shared" si="8"/>
        <v>1618570</v>
      </c>
    </row>
    <row r="173" spans="1:7">
      <c r="A173" t="s">
        <v>199</v>
      </c>
      <c r="B173">
        <v>80659</v>
      </c>
      <c r="C173">
        <v>5</v>
      </c>
      <c r="D173">
        <v>45</v>
      </c>
      <c r="E173">
        <f t="shared" si="6"/>
        <v>40</v>
      </c>
      <c r="F173">
        <f t="shared" si="7"/>
        <v>3226360</v>
      </c>
      <c r="G173">
        <f t="shared" si="8"/>
        <v>403295</v>
      </c>
    </row>
    <row r="174" spans="1:7">
      <c r="A174" t="s">
        <v>306</v>
      </c>
      <c r="B174">
        <v>309022</v>
      </c>
      <c r="C174">
        <v>1</v>
      </c>
      <c r="D174">
        <v>18</v>
      </c>
      <c r="E174">
        <f t="shared" si="6"/>
        <v>17</v>
      </c>
      <c r="F174">
        <f t="shared" si="7"/>
        <v>5253374</v>
      </c>
      <c r="G174">
        <f t="shared" si="8"/>
        <v>309022</v>
      </c>
    </row>
    <row r="175" spans="1:7">
      <c r="A175" t="s">
        <v>184</v>
      </c>
      <c r="B175">
        <v>23573</v>
      </c>
      <c r="C175">
        <v>12</v>
      </c>
      <c r="D175">
        <v>18</v>
      </c>
      <c r="E175">
        <f t="shared" si="6"/>
        <v>6</v>
      </c>
      <c r="F175">
        <f t="shared" si="7"/>
        <v>141438</v>
      </c>
      <c r="G175">
        <f t="shared" si="8"/>
        <v>282876</v>
      </c>
    </row>
    <row r="176" spans="1:7">
      <c r="A176" t="s">
        <v>196</v>
      </c>
      <c r="B176">
        <v>50489</v>
      </c>
      <c r="C176">
        <v>5</v>
      </c>
      <c r="D176">
        <v>18</v>
      </c>
      <c r="E176">
        <f t="shared" si="6"/>
        <v>13</v>
      </c>
      <c r="F176">
        <f t="shared" si="7"/>
        <v>656357</v>
      </c>
      <c r="G176">
        <f t="shared" si="8"/>
        <v>252445</v>
      </c>
    </row>
    <row r="177" spans="1:7">
      <c r="A177" t="s">
        <v>305</v>
      </c>
      <c r="B177">
        <v>302111</v>
      </c>
      <c r="C177">
        <v>12</v>
      </c>
      <c r="D177">
        <v>15</v>
      </c>
      <c r="E177">
        <f t="shared" si="6"/>
        <v>3</v>
      </c>
      <c r="F177">
        <f t="shared" si="7"/>
        <v>906333</v>
      </c>
      <c r="G177">
        <f t="shared" si="8"/>
        <v>3625332</v>
      </c>
    </row>
    <row r="178" spans="1:7">
      <c r="A178" t="s">
        <v>204</v>
      </c>
      <c r="B178">
        <v>74467</v>
      </c>
      <c r="C178">
        <v>3</v>
      </c>
      <c r="D178">
        <v>15</v>
      </c>
      <c r="E178">
        <f t="shared" si="6"/>
        <v>12</v>
      </c>
      <c r="F178">
        <f t="shared" si="7"/>
        <v>893604</v>
      </c>
      <c r="G178">
        <f t="shared" si="8"/>
        <v>223401</v>
      </c>
    </row>
    <row r="179" spans="1:7">
      <c r="A179" t="s">
        <v>278</v>
      </c>
      <c r="B179">
        <v>235226</v>
      </c>
      <c r="C179">
        <v>25</v>
      </c>
      <c r="D179">
        <v>31</v>
      </c>
      <c r="E179">
        <f t="shared" si="6"/>
        <v>6</v>
      </c>
      <c r="F179">
        <f t="shared" si="7"/>
        <v>1411356</v>
      </c>
      <c r="G179">
        <f t="shared" si="8"/>
        <v>5880650</v>
      </c>
    </row>
    <row r="180" spans="1:7">
      <c r="A180" t="s">
        <v>228</v>
      </c>
      <c r="B180">
        <v>129608</v>
      </c>
      <c r="C180">
        <v>6</v>
      </c>
      <c r="D180">
        <v>31</v>
      </c>
      <c r="E180">
        <f t="shared" si="6"/>
        <v>25</v>
      </c>
      <c r="F180">
        <f t="shared" si="7"/>
        <v>3240200</v>
      </c>
      <c r="G180">
        <f t="shared" si="8"/>
        <v>777648</v>
      </c>
    </row>
    <row r="181" spans="1:7">
      <c r="A181" t="s">
        <v>248</v>
      </c>
      <c r="B181">
        <v>173440</v>
      </c>
      <c r="C181">
        <v>31</v>
      </c>
      <c r="D181">
        <v>39</v>
      </c>
      <c r="E181">
        <f t="shared" si="6"/>
        <v>8</v>
      </c>
      <c r="F181">
        <f t="shared" si="7"/>
        <v>1387520</v>
      </c>
      <c r="G181">
        <f t="shared" si="8"/>
        <v>5376640</v>
      </c>
    </row>
    <row r="182" spans="1:7">
      <c r="A182" t="s">
        <v>257</v>
      </c>
      <c r="B182">
        <v>191231</v>
      </c>
      <c r="C182">
        <v>8</v>
      </c>
      <c r="D182">
        <v>39</v>
      </c>
      <c r="E182">
        <f t="shared" si="6"/>
        <v>31</v>
      </c>
      <c r="F182">
        <f t="shared" si="7"/>
        <v>5928161</v>
      </c>
      <c r="G182">
        <f t="shared" si="8"/>
        <v>1529848</v>
      </c>
    </row>
    <row r="183" spans="1:7">
      <c r="A183" t="s">
        <v>307</v>
      </c>
      <c r="B183">
        <v>281042</v>
      </c>
      <c r="C183">
        <v>16</v>
      </c>
      <c r="D183">
        <v>21</v>
      </c>
      <c r="E183">
        <f t="shared" si="6"/>
        <v>5</v>
      </c>
      <c r="F183">
        <f t="shared" si="7"/>
        <v>1405210</v>
      </c>
      <c r="G183">
        <f t="shared" si="8"/>
        <v>4496672</v>
      </c>
    </row>
    <row r="184" spans="1:7">
      <c r="A184" t="s">
        <v>213</v>
      </c>
      <c r="B184">
        <v>70329</v>
      </c>
      <c r="C184">
        <v>5</v>
      </c>
      <c r="D184">
        <v>21</v>
      </c>
      <c r="E184">
        <f t="shared" si="6"/>
        <v>16</v>
      </c>
      <c r="F184">
        <f t="shared" si="7"/>
        <v>1125264</v>
      </c>
      <c r="G184">
        <f t="shared" si="8"/>
        <v>351645</v>
      </c>
    </row>
    <row r="185" spans="1:7">
      <c r="A185" t="s">
        <v>274</v>
      </c>
      <c r="B185">
        <v>184096</v>
      </c>
      <c r="C185">
        <v>45</v>
      </c>
      <c r="D185">
        <v>62</v>
      </c>
      <c r="E185">
        <f t="shared" si="6"/>
        <v>17</v>
      </c>
      <c r="F185">
        <f t="shared" si="7"/>
        <v>3129632</v>
      </c>
      <c r="G185">
        <f t="shared" si="8"/>
        <v>8284320</v>
      </c>
    </row>
    <row r="186" spans="1:7">
      <c r="A186" t="s">
        <v>252</v>
      </c>
      <c r="B186">
        <v>138266</v>
      </c>
      <c r="C186">
        <v>17</v>
      </c>
      <c r="D186">
        <v>62</v>
      </c>
      <c r="E186">
        <f t="shared" si="6"/>
        <v>45</v>
      </c>
      <c r="F186">
        <f t="shared" si="7"/>
        <v>6221970</v>
      </c>
      <c r="G186">
        <f t="shared" si="8"/>
        <v>2350522</v>
      </c>
    </row>
    <row r="187" spans="1:7">
      <c r="A187" t="s">
        <v>288</v>
      </c>
      <c r="B187">
        <v>207528</v>
      </c>
      <c r="C187">
        <v>12</v>
      </c>
      <c r="D187">
        <v>30</v>
      </c>
      <c r="E187">
        <f t="shared" si="6"/>
        <v>18</v>
      </c>
      <c r="F187">
        <f t="shared" si="7"/>
        <v>3735504</v>
      </c>
      <c r="G187">
        <f t="shared" si="8"/>
        <v>2490336</v>
      </c>
    </row>
    <row r="188" spans="1:7">
      <c r="A188" t="s">
        <v>243</v>
      </c>
      <c r="B188">
        <v>106173</v>
      </c>
      <c r="C188">
        <v>18</v>
      </c>
      <c r="D188">
        <v>30</v>
      </c>
      <c r="E188">
        <f t="shared" si="6"/>
        <v>12</v>
      </c>
      <c r="F188">
        <f t="shared" si="7"/>
        <v>1274076</v>
      </c>
      <c r="G188">
        <f t="shared" si="8"/>
        <v>1911114</v>
      </c>
    </row>
    <row r="189" spans="1:7">
      <c r="A189" t="s">
        <v>313</v>
      </c>
      <c r="B189">
        <v>245341</v>
      </c>
      <c r="C189">
        <v>13</v>
      </c>
      <c r="D189">
        <v>25</v>
      </c>
      <c r="E189">
        <f t="shared" si="6"/>
        <v>12</v>
      </c>
      <c r="F189">
        <f t="shared" si="7"/>
        <v>2944092</v>
      </c>
      <c r="G189">
        <f t="shared" si="8"/>
        <v>3189433</v>
      </c>
    </row>
    <row r="190" spans="1:7">
      <c r="A190" t="s">
        <v>223</v>
      </c>
      <c r="B190">
        <v>63944</v>
      </c>
      <c r="C190">
        <v>12</v>
      </c>
      <c r="D190">
        <v>25</v>
      </c>
      <c r="E190">
        <f t="shared" si="6"/>
        <v>13</v>
      </c>
      <c r="F190">
        <f t="shared" si="7"/>
        <v>831272</v>
      </c>
      <c r="G190">
        <f t="shared" si="8"/>
        <v>767328</v>
      </c>
    </row>
    <row r="191" spans="1:7">
      <c r="A191" t="s">
        <v>339</v>
      </c>
      <c r="B191">
        <v>288107</v>
      </c>
      <c r="C191">
        <v>11</v>
      </c>
      <c r="D191">
        <v>28</v>
      </c>
      <c r="E191">
        <f t="shared" si="6"/>
        <v>17</v>
      </c>
      <c r="F191">
        <f t="shared" si="7"/>
        <v>4897819</v>
      </c>
      <c r="G191">
        <f t="shared" si="8"/>
        <v>3169177</v>
      </c>
    </row>
    <row r="192" spans="1:7">
      <c r="A192" t="s">
        <v>208</v>
      </c>
      <c r="B192">
        <v>15099</v>
      </c>
      <c r="C192">
        <v>17</v>
      </c>
      <c r="D192">
        <v>28</v>
      </c>
      <c r="E192">
        <f t="shared" si="6"/>
        <v>11</v>
      </c>
      <c r="F192">
        <f t="shared" si="7"/>
        <v>166089</v>
      </c>
      <c r="G192">
        <f t="shared" si="8"/>
        <v>256683</v>
      </c>
    </row>
    <row r="193" spans="1:7">
      <c r="A193" t="s">
        <v>325</v>
      </c>
      <c r="B193">
        <v>248134</v>
      </c>
      <c r="C193">
        <v>23</v>
      </c>
      <c r="D193">
        <v>31</v>
      </c>
      <c r="E193">
        <f t="shared" si="6"/>
        <v>8</v>
      </c>
      <c r="F193">
        <f t="shared" si="7"/>
        <v>1985072</v>
      </c>
      <c r="G193">
        <f t="shared" si="8"/>
        <v>5707082</v>
      </c>
    </row>
    <row r="194" spans="1:7">
      <c r="A194" t="s">
        <v>218</v>
      </c>
      <c r="B194">
        <v>43740</v>
      </c>
      <c r="C194">
        <v>8</v>
      </c>
      <c r="D194">
        <v>31</v>
      </c>
      <c r="E194">
        <f t="shared" si="6"/>
        <v>23</v>
      </c>
      <c r="F194">
        <f t="shared" si="7"/>
        <v>1006020</v>
      </c>
      <c r="G194">
        <f t="shared" si="8"/>
        <v>349920</v>
      </c>
    </row>
    <row r="195" spans="1:7">
      <c r="A195" t="s">
        <v>273</v>
      </c>
      <c r="B195">
        <v>124700</v>
      </c>
      <c r="C195">
        <v>8</v>
      </c>
      <c r="D195">
        <v>19</v>
      </c>
      <c r="E195">
        <f t="shared" ref="E195:E234" si="9">D195-C195</f>
        <v>11</v>
      </c>
      <c r="F195">
        <f t="shared" ref="F195:F258" si="10">E195*B195</f>
        <v>1371700</v>
      </c>
      <c r="G195">
        <f t="shared" ref="G195:G258" si="11">C195*B195</f>
        <v>997600</v>
      </c>
    </row>
    <row r="196" spans="1:7">
      <c r="A196" t="s">
        <v>262</v>
      </c>
      <c r="B196">
        <v>102022</v>
      </c>
      <c r="C196">
        <v>6</v>
      </c>
      <c r="D196">
        <v>19</v>
      </c>
      <c r="E196">
        <f t="shared" si="9"/>
        <v>13</v>
      </c>
      <c r="F196">
        <f t="shared" si="10"/>
        <v>1326286</v>
      </c>
      <c r="G196">
        <f t="shared" si="11"/>
        <v>612132</v>
      </c>
    </row>
    <row r="197" spans="1:7">
      <c r="A197" t="s">
        <v>235</v>
      </c>
      <c r="B197">
        <v>37959</v>
      </c>
      <c r="C197">
        <v>5</v>
      </c>
      <c r="D197">
        <v>19</v>
      </c>
      <c r="E197">
        <f t="shared" si="9"/>
        <v>14</v>
      </c>
      <c r="F197">
        <f t="shared" si="10"/>
        <v>531426</v>
      </c>
      <c r="G197">
        <f t="shared" si="11"/>
        <v>189795</v>
      </c>
    </row>
    <row r="198" spans="1:7">
      <c r="A198" t="s">
        <v>291</v>
      </c>
      <c r="B198">
        <v>152749</v>
      </c>
      <c r="C198">
        <v>15</v>
      </c>
      <c r="D198">
        <v>42</v>
      </c>
      <c r="E198">
        <f t="shared" si="9"/>
        <v>27</v>
      </c>
      <c r="F198">
        <f t="shared" si="10"/>
        <v>4124223</v>
      </c>
      <c r="G198">
        <f t="shared" si="11"/>
        <v>2291235</v>
      </c>
    </row>
    <row r="199" spans="1:7">
      <c r="A199" t="s">
        <v>247</v>
      </c>
      <c r="B199">
        <v>63052</v>
      </c>
      <c r="C199">
        <v>19</v>
      </c>
      <c r="D199">
        <v>42</v>
      </c>
      <c r="E199">
        <f t="shared" si="9"/>
        <v>23</v>
      </c>
      <c r="F199">
        <f t="shared" si="10"/>
        <v>1450196</v>
      </c>
      <c r="G199">
        <f t="shared" si="11"/>
        <v>1197988</v>
      </c>
    </row>
    <row r="200" spans="1:7">
      <c r="A200" t="s">
        <v>238</v>
      </c>
      <c r="B200">
        <v>41951</v>
      </c>
      <c r="C200">
        <v>8</v>
      </c>
      <c r="D200">
        <v>42</v>
      </c>
      <c r="E200">
        <f t="shared" si="9"/>
        <v>34</v>
      </c>
      <c r="F200">
        <f t="shared" si="10"/>
        <v>1426334</v>
      </c>
      <c r="G200">
        <f t="shared" si="11"/>
        <v>335608</v>
      </c>
    </row>
    <row r="201" spans="1:7">
      <c r="A201" t="s">
        <v>329</v>
      </c>
      <c r="B201">
        <v>212620</v>
      </c>
      <c r="C201">
        <v>8</v>
      </c>
      <c r="D201">
        <v>13</v>
      </c>
      <c r="E201">
        <f t="shared" si="9"/>
        <v>5</v>
      </c>
      <c r="F201">
        <f t="shared" si="10"/>
        <v>1063100</v>
      </c>
      <c r="G201">
        <f t="shared" si="11"/>
        <v>1700960</v>
      </c>
    </row>
    <row r="202" spans="1:7">
      <c r="A202" t="s">
        <v>241</v>
      </c>
      <c r="B202">
        <v>33876</v>
      </c>
      <c r="C202">
        <v>5</v>
      </c>
      <c r="D202">
        <v>13</v>
      </c>
      <c r="E202">
        <f t="shared" si="9"/>
        <v>8</v>
      </c>
      <c r="F202">
        <f t="shared" si="10"/>
        <v>271008</v>
      </c>
      <c r="G202">
        <f t="shared" si="11"/>
        <v>169380</v>
      </c>
    </row>
    <row r="203" spans="1:7">
      <c r="A203" t="s">
        <v>275</v>
      </c>
      <c r="B203">
        <v>98530</v>
      </c>
      <c r="C203">
        <v>20</v>
      </c>
      <c r="D203">
        <v>47</v>
      </c>
      <c r="E203">
        <f t="shared" si="9"/>
        <v>27</v>
      </c>
      <c r="F203">
        <f t="shared" si="10"/>
        <v>2660310</v>
      </c>
      <c r="G203">
        <f t="shared" si="11"/>
        <v>1970600</v>
      </c>
    </row>
    <row r="204" spans="1:7">
      <c r="A204" t="s">
        <v>290</v>
      </c>
      <c r="B204">
        <v>129246</v>
      </c>
      <c r="C204">
        <v>15</v>
      </c>
      <c r="D204">
        <v>47</v>
      </c>
      <c r="E204">
        <f t="shared" si="9"/>
        <v>32</v>
      </c>
      <c r="F204">
        <f t="shared" si="10"/>
        <v>4135872</v>
      </c>
      <c r="G204">
        <f t="shared" si="11"/>
        <v>1938690</v>
      </c>
    </row>
    <row r="205" spans="1:7">
      <c r="A205" t="s">
        <v>231</v>
      </c>
      <c r="B205">
        <v>7042</v>
      </c>
      <c r="C205">
        <v>12</v>
      </c>
      <c r="D205">
        <v>47</v>
      </c>
      <c r="E205">
        <f t="shared" si="9"/>
        <v>35</v>
      </c>
      <c r="F205">
        <f t="shared" si="10"/>
        <v>246470</v>
      </c>
      <c r="G205">
        <f t="shared" si="11"/>
        <v>84504</v>
      </c>
    </row>
    <row r="206" spans="1:7">
      <c r="A206" t="s">
        <v>330</v>
      </c>
      <c r="B206">
        <v>201272</v>
      </c>
      <c r="C206">
        <v>7</v>
      </c>
      <c r="D206">
        <v>19</v>
      </c>
      <c r="E206">
        <f t="shared" si="9"/>
        <v>12</v>
      </c>
      <c r="F206">
        <f t="shared" si="10"/>
        <v>2415264</v>
      </c>
      <c r="G206">
        <f t="shared" si="11"/>
        <v>1408904</v>
      </c>
    </row>
    <row r="207" spans="1:7">
      <c r="A207" t="s">
        <v>245</v>
      </c>
      <c r="B207">
        <v>30421</v>
      </c>
      <c r="C207">
        <v>12</v>
      </c>
      <c r="D207">
        <v>19</v>
      </c>
      <c r="E207">
        <f t="shared" si="9"/>
        <v>7</v>
      </c>
      <c r="F207">
        <f t="shared" si="10"/>
        <v>212947</v>
      </c>
      <c r="G207">
        <f t="shared" si="11"/>
        <v>365052</v>
      </c>
    </row>
    <row r="208" spans="1:7">
      <c r="A208" t="s">
        <v>283</v>
      </c>
      <c r="B208">
        <v>118314</v>
      </c>
      <c r="C208">
        <v>17</v>
      </c>
      <c r="D208">
        <v>25</v>
      </c>
      <c r="E208">
        <f t="shared" si="9"/>
        <v>8</v>
      </c>
      <c r="F208">
        <f t="shared" si="10"/>
        <v>946512</v>
      </c>
      <c r="G208">
        <f t="shared" si="11"/>
        <v>2011338</v>
      </c>
    </row>
    <row r="209" spans="1:7">
      <c r="A209" t="s">
        <v>280</v>
      </c>
      <c r="B209">
        <v>112440</v>
      </c>
      <c r="C209">
        <v>8</v>
      </c>
      <c r="D209">
        <v>25</v>
      </c>
      <c r="E209">
        <f t="shared" si="9"/>
        <v>17</v>
      </c>
      <c r="F209">
        <f t="shared" si="10"/>
        <v>1911480</v>
      </c>
      <c r="G209">
        <f t="shared" si="11"/>
        <v>899520</v>
      </c>
    </row>
    <row r="210" spans="1:7">
      <c r="A210" t="s">
        <v>328</v>
      </c>
      <c r="B210">
        <v>185549</v>
      </c>
      <c r="C210">
        <v>27</v>
      </c>
      <c r="D210">
        <v>37</v>
      </c>
      <c r="E210">
        <f t="shared" si="9"/>
        <v>10</v>
      </c>
      <c r="F210">
        <f t="shared" si="10"/>
        <v>1855490</v>
      </c>
      <c r="G210">
        <f t="shared" si="11"/>
        <v>5009823</v>
      </c>
    </row>
    <row r="211" spans="1:7">
      <c r="A211" t="s">
        <v>250</v>
      </c>
      <c r="B211">
        <v>35299</v>
      </c>
      <c r="C211">
        <v>10</v>
      </c>
      <c r="D211">
        <v>37</v>
      </c>
      <c r="E211">
        <f t="shared" si="9"/>
        <v>27</v>
      </c>
      <c r="F211">
        <f t="shared" si="10"/>
        <v>953073</v>
      </c>
      <c r="G211">
        <f t="shared" si="11"/>
        <v>352990</v>
      </c>
    </row>
    <row r="212" spans="1:7">
      <c r="A212" t="s">
        <v>286</v>
      </c>
      <c r="B212">
        <v>84583</v>
      </c>
      <c r="C212">
        <v>13</v>
      </c>
      <c r="D212">
        <v>20</v>
      </c>
      <c r="E212">
        <f t="shared" si="9"/>
        <v>7</v>
      </c>
      <c r="F212">
        <f t="shared" si="10"/>
        <v>592081</v>
      </c>
      <c r="G212">
        <f t="shared" si="11"/>
        <v>1099579</v>
      </c>
    </row>
    <row r="213" spans="1:7">
      <c r="A213" t="s">
        <v>303</v>
      </c>
      <c r="B213">
        <v>107524</v>
      </c>
      <c r="C213">
        <v>7</v>
      </c>
      <c r="D213">
        <v>20</v>
      </c>
      <c r="E213">
        <f t="shared" si="9"/>
        <v>13</v>
      </c>
      <c r="F213">
        <f t="shared" si="10"/>
        <v>1397812</v>
      </c>
      <c r="G213">
        <f t="shared" si="11"/>
        <v>752668</v>
      </c>
    </row>
    <row r="214" spans="1:7">
      <c r="A214" t="s">
        <v>338</v>
      </c>
      <c r="B214">
        <v>162951</v>
      </c>
      <c r="C214">
        <v>26</v>
      </c>
      <c r="D214">
        <v>40</v>
      </c>
      <c r="E214">
        <f t="shared" si="9"/>
        <v>14</v>
      </c>
      <c r="F214">
        <f t="shared" si="10"/>
        <v>2281314</v>
      </c>
      <c r="G214">
        <f t="shared" si="11"/>
        <v>4236726</v>
      </c>
    </row>
    <row r="215" spans="1:7">
      <c r="A215" t="s">
        <v>260</v>
      </c>
      <c r="B215">
        <v>11817</v>
      </c>
      <c r="C215">
        <v>7</v>
      </c>
      <c r="D215">
        <v>40</v>
      </c>
      <c r="E215">
        <f t="shared" si="9"/>
        <v>33</v>
      </c>
      <c r="F215">
        <f t="shared" si="10"/>
        <v>389961</v>
      </c>
      <c r="G215">
        <f t="shared" si="11"/>
        <v>82719</v>
      </c>
    </row>
    <row r="216" spans="1:7">
      <c r="A216" t="s">
        <v>255</v>
      </c>
      <c r="B216">
        <v>4855</v>
      </c>
      <c r="C216">
        <v>7</v>
      </c>
      <c r="D216">
        <v>40</v>
      </c>
      <c r="E216">
        <f t="shared" si="9"/>
        <v>33</v>
      </c>
      <c r="F216">
        <f t="shared" si="10"/>
        <v>160215</v>
      </c>
      <c r="G216">
        <f t="shared" si="11"/>
        <v>33985</v>
      </c>
    </row>
    <row r="217" spans="1:7">
      <c r="A217" t="s">
        <v>300</v>
      </c>
      <c r="B217">
        <v>90744</v>
      </c>
      <c r="C217">
        <v>14</v>
      </c>
      <c r="D217">
        <v>24</v>
      </c>
      <c r="E217">
        <f t="shared" si="9"/>
        <v>10</v>
      </c>
      <c r="F217">
        <f t="shared" si="10"/>
        <v>907440</v>
      </c>
      <c r="G217">
        <f t="shared" si="11"/>
        <v>1270416</v>
      </c>
    </row>
    <row r="218" spans="1:7">
      <c r="A218" t="s">
        <v>298</v>
      </c>
      <c r="B218">
        <v>87069</v>
      </c>
      <c r="C218">
        <v>10</v>
      </c>
      <c r="D218">
        <v>24</v>
      </c>
      <c r="E218">
        <f t="shared" si="9"/>
        <v>14</v>
      </c>
      <c r="F218">
        <f t="shared" si="10"/>
        <v>1218966</v>
      </c>
      <c r="G218">
        <f t="shared" si="11"/>
        <v>870690</v>
      </c>
    </row>
    <row r="219" spans="1:7">
      <c r="A219" t="s">
        <v>351</v>
      </c>
      <c r="B219">
        <v>172918</v>
      </c>
      <c r="C219">
        <v>10</v>
      </c>
      <c r="D219">
        <v>13</v>
      </c>
      <c r="E219">
        <f t="shared" si="9"/>
        <v>3</v>
      </c>
      <c r="F219">
        <f t="shared" si="10"/>
        <v>518754</v>
      </c>
      <c r="G219">
        <f t="shared" si="11"/>
        <v>1729180</v>
      </c>
    </row>
    <row r="220" spans="1:7">
      <c r="A220" t="s">
        <v>258</v>
      </c>
      <c r="B220">
        <v>1470</v>
      </c>
      <c r="C220">
        <v>3</v>
      </c>
      <c r="D220">
        <v>13</v>
      </c>
      <c r="E220">
        <f t="shared" si="9"/>
        <v>10</v>
      </c>
      <c r="F220">
        <f t="shared" si="10"/>
        <v>14700</v>
      </c>
      <c r="G220">
        <f t="shared" si="11"/>
        <v>4410</v>
      </c>
    </row>
    <row r="221" spans="1:7">
      <c r="A221" t="s">
        <v>350</v>
      </c>
      <c r="B221">
        <v>151254</v>
      </c>
      <c r="C221">
        <v>14</v>
      </c>
      <c r="D221">
        <v>20</v>
      </c>
      <c r="E221">
        <f t="shared" si="9"/>
        <v>6</v>
      </c>
      <c r="F221">
        <f t="shared" si="10"/>
        <v>907524</v>
      </c>
      <c r="G221">
        <f t="shared" si="11"/>
        <v>2117556</v>
      </c>
    </row>
    <row r="222" spans="1:7">
      <c r="A222" t="s">
        <v>265</v>
      </c>
      <c r="B222">
        <v>3058</v>
      </c>
      <c r="C222">
        <v>6</v>
      </c>
      <c r="D222">
        <v>20</v>
      </c>
      <c r="E222">
        <f t="shared" si="9"/>
        <v>14</v>
      </c>
      <c r="F222">
        <f t="shared" si="10"/>
        <v>42812</v>
      </c>
      <c r="G222">
        <f t="shared" si="11"/>
        <v>18348</v>
      </c>
    </row>
    <row r="223" spans="1:7">
      <c r="A223" t="s">
        <v>353</v>
      </c>
      <c r="B223">
        <v>141461</v>
      </c>
      <c r="C223">
        <v>5</v>
      </c>
      <c r="D223">
        <v>6</v>
      </c>
      <c r="E223">
        <f t="shared" si="9"/>
        <v>1</v>
      </c>
      <c r="F223">
        <f t="shared" si="10"/>
        <v>141461</v>
      </c>
      <c r="G223">
        <f t="shared" si="11"/>
        <v>707305</v>
      </c>
    </row>
    <row r="224" spans="1:7">
      <c r="A224" t="s">
        <v>271</v>
      </c>
      <c r="B224">
        <v>1019</v>
      </c>
      <c r="C224">
        <v>1</v>
      </c>
      <c r="D224">
        <v>6</v>
      </c>
      <c r="E224">
        <f t="shared" si="9"/>
        <v>5</v>
      </c>
      <c r="F224">
        <f t="shared" si="10"/>
        <v>5095</v>
      </c>
      <c r="G224">
        <f t="shared" si="11"/>
        <v>1019</v>
      </c>
    </row>
    <row r="225" spans="1:7">
      <c r="A225" t="s">
        <v>327</v>
      </c>
      <c r="B225">
        <v>68835</v>
      </c>
      <c r="C225">
        <v>8</v>
      </c>
      <c r="D225">
        <v>15</v>
      </c>
      <c r="E225">
        <f t="shared" si="9"/>
        <v>7</v>
      </c>
      <c r="F225">
        <f t="shared" si="10"/>
        <v>481845</v>
      </c>
      <c r="G225">
        <f t="shared" si="11"/>
        <v>550680</v>
      </c>
    </row>
    <row r="226" spans="1:7">
      <c r="A226" t="s">
        <v>309</v>
      </c>
      <c r="B226">
        <v>37172</v>
      </c>
      <c r="C226">
        <v>7</v>
      </c>
      <c r="D226">
        <v>15</v>
      </c>
      <c r="E226">
        <f t="shared" si="9"/>
        <v>8</v>
      </c>
      <c r="F226">
        <f t="shared" si="10"/>
        <v>297376</v>
      </c>
      <c r="G226">
        <f t="shared" si="11"/>
        <v>260204</v>
      </c>
    </row>
    <row r="227" spans="1:7">
      <c r="A227" t="s">
        <v>334</v>
      </c>
      <c r="B227">
        <v>64266</v>
      </c>
      <c r="C227">
        <v>9</v>
      </c>
      <c r="D227">
        <v>15</v>
      </c>
      <c r="E227">
        <f t="shared" si="9"/>
        <v>6</v>
      </c>
      <c r="F227">
        <f t="shared" si="10"/>
        <v>385596</v>
      </c>
      <c r="G227">
        <f t="shared" si="11"/>
        <v>578394</v>
      </c>
    </row>
    <row r="228" spans="1:7">
      <c r="A228" t="s">
        <v>311</v>
      </c>
      <c r="B228">
        <v>20341</v>
      </c>
      <c r="C228">
        <v>6</v>
      </c>
      <c r="D228">
        <v>15</v>
      </c>
      <c r="E228">
        <f t="shared" si="9"/>
        <v>9</v>
      </c>
      <c r="F228">
        <f t="shared" si="10"/>
        <v>183069</v>
      </c>
      <c r="G228">
        <f t="shared" si="11"/>
        <v>122046</v>
      </c>
    </row>
    <row r="229" spans="1:7">
      <c r="A229" t="s">
        <v>316</v>
      </c>
      <c r="B229">
        <v>19284</v>
      </c>
      <c r="C229">
        <v>8</v>
      </c>
      <c r="D229">
        <v>9</v>
      </c>
      <c r="E229">
        <f t="shared" si="9"/>
        <v>1</v>
      </c>
      <c r="F229">
        <f t="shared" si="10"/>
        <v>19284</v>
      </c>
      <c r="G229">
        <f t="shared" si="11"/>
        <v>154272</v>
      </c>
    </row>
    <row r="230" spans="1:7">
      <c r="A230" t="s">
        <v>335</v>
      </c>
      <c r="B230">
        <v>60890</v>
      </c>
      <c r="C230">
        <v>1</v>
      </c>
      <c r="D230">
        <v>9</v>
      </c>
      <c r="E230">
        <f t="shared" si="9"/>
        <v>8</v>
      </c>
      <c r="F230">
        <f t="shared" si="10"/>
        <v>487120</v>
      </c>
      <c r="G230">
        <f t="shared" si="11"/>
        <v>60890</v>
      </c>
    </row>
    <row r="231" spans="1:7">
      <c r="A231" t="s">
        <v>332</v>
      </c>
      <c r="B231">
        <v>18350</v>
      </c>
      <c r="C231">
        <v>17</v>
      </c>
      <c r="D231">
        <v>19</v>
      </c>
      <c r="E231">
        <f t="shared" si="9"/>
        <v>2</v>
      </c>
      <c r="F231">
        <f t="shared" si="10"/>
        <v>36700</v>
      </c>
      <c r="G231">
        <f t="shared" si="11"/>
        <v>311950</v>
      </c>
    </row>
    <row r="232" spans="1:7">
      <c r="A232" t="s">
        <v>336</v>
      </c>
      <c r="B232">
        <v>27362</v>
      </c>
      <c r="C232">
        <v>2</v>
      </c>
      <c r="D232">
        <v>19</v>
      </c>
      <c r="E232">
        <f t="shared" si="9"/>
        <v>17</v>
      </c>
      <c r="F232">
        <f t="shared" si="10"/>
        <v>465154</v>
      </c>
      <c r="G232">
        <f t="shared" si="11"/>
        <v>54724</v>
      </c>
    </row>
    <row r="233" spans="1:7">
      <c r="A233" t="s">
        <v>347</v>
      </c>
      <c r="B233">
        <v>11565</v>
      </c>
      <c r="C233">
        <v>7</v>
      </c>
      <c r="D233">
        <v>8</v>
      </c>
      <c r="E233">
        <f t="shared" si="9"/>
        <v>1</v>
      </c>
      <c r="F233">
        <f t="shared" si="10"/>
        <v>11565</v>
      </c>
      <c r="G233">
        <f t="shared" si="11"/>
        <v>80955</v>
      </c>
    </row>
    <row r="234" spans="1:7">
      <c r="A234" t="s">
        <v>343</v>
      </c>
      <c r="B234">
        <v>6219</v>
      </c>
      <c r="C234">
        <v>1</v>
      </c>
      <c r="D234">
        <v>8</v>
      </c>
      <c r="E234">
        <f t="shared" si="9"/>
        <v>7</v>
      </c>
      <c r="F234">
        <f t="shared" si="10"/>
        <v>43533</v>
      </c>
      <c r="G234">
        <f t="shared" si="11"/>
        <v>6219</v>
      </c>
    </row>
    <row r="235" spans="1:7">
      <c r="A235" t="s">
        <v>633</v>
      </c>
      <c r="B235">
        <v>8560380</v>
      </c>
      <c r="C235">
        <v>158</v>
      </c>
      <c r="F235">
        <f t="shared" si="10"/>
        <v>0</v>
      </c>
      <c r="G235">
        <f t="shared" si="11"/>
        <v>1352540040</v>
      </c>
    </row>
    <row r="236" spans="1:7">
      <c r="A236" t="s">
        <v>565</v>
      </c>
      <c r="B236">
        <v>10519921</v>
      </c>
      <c r="C236">
        <v>88</v>
      </c>
      <c r="F236">
        <f t="shared" si="10"/>
        <v>0</v>
      </c>
      <c r="G236">
        <f t="shared" si="11"/>
        <v>925753048</v>
      </c>
    </row>
    <row r="237" spans="1:7">
      <c r="A237" t="s">
        <v>471</v>
      </c>
      <c r="B237">
        <v>5378305</v>
      </c>
      <c r="C237">
        <v>136</v>
      </c>
      <c r="F237">
        <f t="shared" si="10"/>
        <v>0</v>
      </c>
      <c r="G237">
        <f t="shared" si="11"/>
        <v>731449480</v>
      </c>
    </row>
    <row r="238" spans="1:7">
      <c r="A238" t="s">
        <v>669</v>
      </c>
      <c r="B238">
        <v>4617458</v>
      </c>
      <c r="C238">
        <v>99</v>
      </c>
      <c r="F238">
        <f t="shared" si="10"/>
        <v>0</v>
      </c>
      <c r="G238">
        <f t="shared" si="11"/>
        <v>457128342</v>
      </c>
    </row>
    <row r="239" spans="1:7">
      <c r="A239" t="s">
        <v>515</v>
      </c>
      <c r="B239">
        <v>3806174</v>
      </c>
      <c r="C239">
        <v>92</v>
      </c>
      <c r="F239">
        <f t="shared" si="10"/>
        <v>0</v>
      </c>
      <c r="G239">
        <f t="shared" si="11"/>
        <v>350168008</v>
      </c>
    </row>
    <row r="240" spans="1:7">
      <c r="A240" t="s">
        <v>643</v>
      </c>
      <c r="B240">
        <v>2636015</v>
      </c>
      <c r="C240">
        <v>123</v>
      </c>
      <c r="F240">
        <f t="shared" si="10"/>
        <v>0</v>
      </c>
      <c r="G240">
        <f t="shared" si="11"/>
        <v>324229845</v>
      </c>
    </row>
    <row r="241" spans="1:7">
      <c r="A241" t="s">
        <v>531</v>
      </c>
      <c r="B241">
        <v>2762926</v>
      </c>
      <c r="C241">
        <v>101</v>
      </c>
      <c r="F241">
        <f t="shared" si="10"/>
        <v>0</v>
      </c>
      <c r="G241">
        <f t="shared" si="11"/>
        <v>279055526</v>
      </c>
    </row>
    <row r="242" spans="1:7">
      <c r="A242" t="s">
        <v>475</v>
      </c>
      <c r="B242">
        <v>2449940</v>
      </c>
      <c r="C242">
        <v>84</v>
      </c>
      <c r="F242">
        <f t="shared" si="10"/>
        <v>0</v>
      </c>
      <c r="G242">
        <f t="shared" si="11"/>
        <v>205794960</v>
      </c>
    </row>
    <row r="243" spans="1:7">
      <c r="A243" t="s">
        <v>641</v>
      </c>
      <c r="B243">
        <v>4032007</v>
      </c>
      <c r="C243">
        <v>51</v>
      </c>
      <c r="F243">
        <f t="shared" si="10"/>
        <v>0</v>
      </c>
      <c r="G243">
        <f t="shared" si="11"/>
        <v>205632357</v>
      </c>
    </row>
    <row r="244" spans="1:7">
      <c r="A244" t="s">
        <v>595</v>
      </c>
      <c r="B244">
        <v>1847431</v>
      </c>
      <c r="C244">
        <v>94</v>
      </c>
      <c r="F244">
        <f t="shared" si="10"/>
        <v>0</v>
      </c>
      <c r="G244">
        <f t="shared" si="11"/>
        <v>173658514</v>
      </c>
    </row>
    <row r="245" spans="1:7">
      <c r="A245" t="s">
        <v>599</v>
      </c>
      <c r="B245">
        <v>1932126</v>
      </c>
      <c r="C245">
        <v>70</v>
      </c>
      <c r="F245">
        <f t="shared" si="10"/>
        <v>0</v>
      </c>
      <c r="G245">
        <f t="shared" si="11"/>
        <v>135248820</v>
      </c>
    </row>
    <row r="246" spans="1:7">
      <c r="A246" t="s">
        <v>451</v>
      </c>
      <c r="B246">
        <v>2806040</v>
      </c>
      <c r="C246">
        <v>47</v>
      </c>
      <c r="F246">
        <f t="shared" si="10"/>
        <v>0</v>
      </c>
      <c r="G246">
        <f t="shared" si="11"/>
        <v>131883880</v>
      </c>
    </row>
    <row r="247" spans="1:7">
      <c r="A247" t="s">
        <v>481</v>
      </c>
      <c r="B247">
        <v>1918573</v>
      </c>
      <c r="C247">
        <v>66</v>
      </c>
      <c r="F247">
        <f t="shared" si="10"/>
        <v>0</v>
      </c>
      <c r="G247">
        <f t="shared" si="11"/>
        <v>126625818</v>
      </c>
    </row>
    <row r="248" spans="1:7">
      <c r="A248" t="s">
        <v>429</v>
      </c>
      <c r="B248">
        <v>2464890</v>
      </c>
      <c r="C248">
        <v>50</v>
      </c>
      <c r="F248">
        <f t="shared" si="10"/>
        <v>0</v>
      </c>
      <c r="G248">
        <f t="shared" si="11"/>
        <v>123244500</v>
      </c>
    </row>
    <row r="249" spans="1:7">
      <c r="A249" t="s">
        <v>663</v>
      </c>
      <c r="B249">
        <v>3562020</v>
      </c>
      <c r="C249">
        <v>34</v>
      </c>
      <c r="F249">
        <f t="shared" si="10"/>
        <v>0</v>
      </c>
      <c r="G249">
        <f t="shared" si="11"/>
        <v>121108680</v>
      </c>
    </row>
    <row r="250" spans="1:7">
      <c r="A250" t="s">
        <v>625</v>
      </c>
      <c r="B250">
        <v>1278355</v>
      </c>
      <c r="C250">
        <v>93</v>
      </c>
      <c r="F250">
        <f t="shared" si="10"/>
        <v>0</v>
      </c>
      <c r="G250">
        <f t="shared" si="11"/>
        <v>118887015</v>
      </c>
    </row>
    <row r="251" spans="1:7">
      <c r="A251" t="s">
        <v>675</v>
      </c>
      <c r="B251">
        <v>1696964</v>
      </c>
      <c r="C251">
        <v>67</v>
      </c>
      <c r="F251">
        <f t="shared" si="10"/>
        <v>0</v>
      </c>
      <c r="G251">
        <f t="shared" si="11"/>
        <v>113696588</v>
      </c>
    </row>
    <row r="252" spans="1:7">
      <c r="A252" t="s">
        <v>485</v>
      </c>
      <c r="B252">
        <v>2273476</v>
      </c>
      <c r="C252">
        <v>50</v>
      </c>
      <c r="F252">
        <f t="shared" si="10"/>
        <v>0</v>
      </c>
      <c r="G252">
        <f t="shared" si="11"/>
        <v>113673800</v>
      </c>
    </row>
    <row r="253" spans="1:7">
      <c r="A253" t="s">
        <v>473</v>
      </c>
      <c r="B253">
        <v>2157554</v>
      </c>
      <c r="C253">
        <v>51</v>
      </c>
      <c r="F253">
        <f t="shared" si="10"/>
        <v>0</v>
      </c>
      <c r="G253">
        <f t="shared" si="11"/>
        <v>110035254</v>
      </c>
    </row>
    <row r="254" spans="1:7">
      <c r="A254" t="s">
        <v>685</v>
      </c>
      <c r="B254">
        <v>2380010</v>
      </c>
      <c r="C254">
        <v>46</v>
      </c>
      <c r="F254">
        <f t="shared" si="10"/>
        <v>0</v>
      </c>
      <c r="G254">
        <f t="shared" si="11"/>
        <v>109480460</v>
      </c>
    </row>
    <row r="255" spans="1:7">
      <c r="A255" t="s">
        <v>469</v>
      </c>
      <c r="B255">
        <v>3794793</v>
      </c>
      <c r="C255">
        <v>28</v>
      </c>
      <c r="F255">
        <f t="shared" si="10"/>
        <v>0</v>
      </c>
      <c r="G255">
        <f t="shared" si="11"/>
        <v>106254204</v>
      </c>
    </row>
    <row r="256" spans="1:7">
      <c r="A256" t="s">
        <v>383</v>
      </c>
      <c r="B256">
        <v>4079290</v>
      </c>
      <c r="C256">
        <v>25</v>
      </c>
      <c r="F256">
        <f t="shared" si="10"/>
        <v>0</v>
      </c>
      <c r="G256">
        <f t="shared" si="11"/>
        <v>101982250</v>
      </c>
    </row>
    <row r="257" spans="1:7">
      <c r="A257" t="s">
        <v>491</v>
      </c>
      <c r="B257">
        <v>1321100</v>
      </c>
      <c r="C257">
        <v>76</v>
      </c>
      <c r="F257">
        <f t="shared" si="10"/>
        <v>0</v>
      </c>
      <c r="G257">
        <f t="shared" si="11"/>
        <v>100403600</v>
      </c>
    </row>
    <row r="258" spans="1:7">
      <c r="A258" t="s">
        <v>569</v>
      </c>
      <c r="B258">
        <v>1499150</v>
      </c>
      <c r="C258">
        <v>64</v>
      </c>
      <c r="F258">
        <f t="shared" si="10"/>
        <v>0</v>
      </c>
      <c r="G258">
        <f t="shared" si="11"/>
        <v>95945600</v>
      </c>
    </row>
    <row r="259" spans="1:7">
      <c r="A259" t="s">
        <v>483</v>
      </c>
      <c r="B259">
        <v>2332486</v>
      </c>
      <c r="C259">
        <v>38</v>
      </c>
      <c r="F259">
        <f t="shared" ref="F259:F322" si="12">E259*B259</f>
        <v>0</v>
      </c>
      <c r="G259">
        <f t="shared" ref="G259:G322" si="13">C259*B259</f>
        <v>88634468</v>
      </c>
    </row>
    <row r="260" spans="1:7">
      <c r="A260" t="s">
        <v>425</v>
      </c>
      <c r="B260">
        <v>12648125</v>
      </c>
      <c r="C260">
        <v>7</v>
      </c>
      <c r="F260">
        <f t="shared" si="12"/>
        <v>0</v>
      </c>
      <c r="G260">
        <f t="shared" si="13"/>
        <v>88536875</v>
      </c>
    </row>
    <row r="261" spans="1:7">
      <c r="A261" t="s">
        <v>671</v>
      </c>
      <c r="B261">
        <v>3778873</v>
      </c>
      <c r="C261">
        <v>23</v>
      </c>
      <c r="F261">
        <f t="shared" si="12"/>
        <v>0</v>
      </c>
      <c r="G261">
        <f t="shared" si="13"/>
        <v>86914079</v>
      </c>
    </row>
    <row r="262" spans="1:7">
      <c r="A262" t="s">
        <v>631</v>
      </c>
      <c r="B262">
        <v>2223200</v>
      </c>
      <c r="C262">
        <v>36</v>
      </c>
      <c r="F262">
        <f t="shared" si="12"/>
        <v>0</v>
      </c>
      <c r="G262">
        <f t="shared" si="13"/>
        <v>80035200</v>
      </c>
    </row>
    <row r="263" spans="1:7">
      <c r="A263" t="s">
        <v>601</v>
      </c>
      <c r="B263">
        <v>2318846</v>
      </c>
      <c r="C263">
        <v>34</v>
      </c>
      <c r="F263">
        <f t="shared" si="12"/>
        <v>0</v>
      </c>
      <c r="G263">
        <f t="shared" si="13"/>
        <v>78840764</v>
      </c>
    </row>
    <row r="264" spans="1:7">
      <c r="A264" t="s">
        <v>407</v>
      </c>
      <c r="B264">
        <v>1967791</v>
      </c>
      <c r="C264">
        <v>40</v>
      </c>
      <c r="F264">
        <f t="shared" si="12"/>
        <v>0</v>
      </c>
      <c r="G264">
        <f t="shared" si="13"/>
        <v>78711640</v>
      </c>
    </row>
    <row r="265" spans="1:7">
      <c r="A265" t="s">
        <v>371</v>
      </c>
      <c r="B265">
        <v>936004</v>
      </c>
      <c r="C265">
        <v>83</v>
      </c>
      <c r="F265">
        <f t="shared" si="12"/>
        <v>0</v>
      </c>
      <c r="G265">
        <f t="shared" si="13"/>
        <v>77688332</v>
      </c>
    </row>
    <row r="266" spans="1:7">
      <c r="A266" t="s">
        <v>399</v>
      </c>
      <c r="B266">
        <v>1786300</v>
      </c>
      <c r="C266">
        <v>43</v>
      </c>
      <c r="F266">
        <f t="shared" si="12"/>
        <v>0</v>
      </c>
      <c r="G266">
        <f t="shared" si="13"/>
        <v>76810900</v>
      </c>
    </row>
    <row r="267" spans="1:7">
      <c r="A267" t="s">
        <v>579</v>
      </c>
      <c r="B267">
        <v>1627242</v>
      </c>
      <c r="C267">
        <v>47</v>
      </c>
      <c r="F267">
        <f t="shared" si="12"/>
        <v>0</v>
      </c>
      <c r="G267">
        <f t="shared" si="13"/>
        <v>76480374</v>
      </c>
    </row>
    <row r="268" spans="1:7">
      <c r="A268" t="s">
        <v>589</v>
      </c>
      <c r="B268">
        <v>3027330</v>
      </c>
      <c r="C268">
        <v>25</v>
      </c>
      <c r="F268">
        <f t="shared" si="12"/>
        <v>0</v>
      </c>
      <c r="G268">
        <f t="shared" si="13"/>
        <v>75683250</v>
      </c>
    </row>
    <row r="269" spans="1:7">
      <c r="A269" t="s">
        <v>603</v>
      </c>
      <c r="B269">
        <v>1417531</v>
      </c>
      <c r="C269">
        <v>53</v>
      </c>
      <c r="F269">
        <f t="shared" si="12"/>
        <v>0</v>
      </c>
      <c r="G269">
        <f t="shared" si="13"/>
        <v>75129143</v>
      </c>
    </row>
    <row r="270" spans="1:7">
      <c r="A270" t="s">
        <v>479</v>
      </c>
      <c r="B270">
        <v>1307519</v>
      </c>
      <c r="C270">
        <v>57</v>
      </c>
      <c r="F270">
        <f t="shared" si="12"/>
        <v>0</v>
      </c>
      <c r="G270">
        <f t="shared" si="13"/>
        <v>74528583</v>
      </c>
    </row>
    <row r="271" spans="1:7">
      <c r="A271" t="s">
        <v>499</v>
      </c>
      <c r="B271">
        <v>1789752</v>
      </c>
      <c r="C271">
        <v>41</v>
      </c>
      <c r="F271">
        <f t="shared" si="12"/>
        <v>0</v>
      </c>
      <c r="G271">
        <f t="shared" si="13"/>
        <v>73379832</v>
      </c>
    </row>
    <row r="272" spans="1:7">
      <c r="A272" t="s">
        <v>629</v>
      </c>
      <c r="B272">
        <v>1499898</v>
      </c>
      <c r="C272">
        <v>47</v>
      </c>
      <c r="F272">
        <f t="shared" si="12"/>
        <v>0</v>
      </c>
      <c r="G272">
        <f t="shared" si="13"/>
        <v>70495206</v>
      </c>
    </row>
    <row r="273" spans="1:7">
      <c r="A273" t="s">
        <v>545</v>
      </c>
      <c r="B273">
        <v>3508887</v>
      </c>
      <c r="C273">
        <v>20</v>
      </c>
      <c r="F273">
        <f t="shared" si="12"/>
        <v>0</v>
      </c>
      <c r="G273">
        <f t="shared" si="13"/>
        <v>70177740</v>
      </c>
    </row>
    <row r="274" spans="1:7">
      <c r="A274" t="s">
        <v>423</v>
      </c>
      <c r="B274">
        <v>2420704</v>
      </c>
      <c r="C274">
        <v>28</v>
      </c>
      <c r="F274">
        <f t="shared" si="12"/>
        <v>0</v>
      </c>
      <c r="G274">
        <f t="shared" si="13"/>
        <v>67779712</v>
      </c>
    </row>
    <row r="275" spans="1:7">
      <c r="A275" t="s">
        <v>543</v>
      </c>
      <c r="B275">
        <v>1506961</v>
      </c>
      <c r="C275">
        <v>44</v>
      </c>
      <c r="F275">
        <f t="shared" si="12"/>
        <v>0</v>
      </c>
      <c r="G275">
        <f t="shared" si="13"/>
        <v>66306284</v>
      </c>
    </row>
    <row r="276" spans="1:7">
      <c r="A276" t="s">
        <v>533</v>
      </c>
      <c r="B276">
        <v>1086669</v>
      </c>
      <c r="C276">
        <v>61</v>
      </c>
      <c r="F276">
        <f t="shared" si="12"/>
        <v>0</v>
      </c>
      <c r="G276">
        <f t="shared" si="13"/>
        <v>66286809</v>
      </c>
    </row>
    <row r="277" spans="1:7">
      <c r="A277" t="s">
        <v>605</v>
      </c>
      <c r="B277">
        <v>1019414</v>
      </c>
      <c r="C277">
        <v>61</v>
      </c>
      <c r="F277">
        <f t="shared" si="12"/>
        <v>0</v>
      </c>
      <c r="G277">
        <f t="shared" si="13"/>
        <v>62184254</v>
      </c>
    </row>
    <row r="278" spans="1:7">
      <c r="A278" t="s">
        <v>457</v>
      </c>
      <c r="B278">
        <v>2233833</v>
      </c>
      <c r="C278">
        <v>26</v>
      </c>
      <c r="F278">
        <f t="shared" si="12"/>
        <v>0</v>
      </c>
      <c r="G278">
        <f t="shared" si="13"/>
        <v>58079658</v>
      </c>
    </row>
    <row r="279" spans="1:7">
      <c r="A279" t="s">
        <v>391</v>
      </c>
      <c r="B279">
        <v>1833141</v>
      </c>
      <c r="C279">
        <v>30</v>
      </c>
      <c r="F279">
        <f t="shared" si="12"/>
        <v>0</v>
      </c>
      <c r="G279">
        <f t="shared" si="13"/>
        <v>54994230</v>
      </c>
    </row>
    <row r="280" spans="1:7">
      <c r="A280" t="s">
        <v>609</v>
      </c>
      <c r="B280">
        <v>2165222</v>
      </c>
      <c r="C280">
        <v>25</v>
      </c>
      <c r="F280">
        <f t="shared" si="12"/>
        <v>0</v>
      </c>
      <c r="G280">
        <f t="shared" si="13"/>
        <v>54130550</v>
      </c>
    </row>
    <row r="281" spans="1:7">
      <c r="A281" t="s">
        <v>667</v>
      </c>
      <c r="B281">
        <v>1726585</v>
      </c>
      <c r="C281">
        <v>31</v>
      </c>
      <c r="F281">
        <f t="shared" si="12"/>
        <v>0</v>
      </c>
      <c r="G281">
        <f t="shared" si="13"/>
        <v>53524135</v>
      </c>
    </row>
    <row r="282" spans="1:7">
      <c r="A282" t="s">
        <v>489</v>
      </c>
      <c r="B282">
        <v>1661613</v>
      </c>
      <c r="C282">
        <v>32</v>
      </c>
      <c r="F282">
        <f t="shared" si="12"/>
        <v>0</v>
      </c>
      <c r="G282">
        <f t="shared" si="13"/>
        <v>53171616</v>
      </c>
    </row>
    <row r="283" spans="1:7">
      <c r="A283" t="s">
        <v>637</v>
      </c>
      <c r="B283">
        <v>1101740</v>
      </c>
      <c r="C283">
        <v>45</v>
      </c>
      <c r="F283">
        <f t="shared" si="12"/>
        <v>0</v>
      </c>
      <c r="G283">
        <f t="shared" si="13"/>
        <v>49578300</v>
      </c>
    </row>
    <row r="284" spans="1:7">
      <c r="A284" t="s">
        <v>635</v>
      </c>
      <c r="B284">
        <v>1047274</v>
      </c>
      <c r="C284">
        <v>47</v>
      </c>
      <c r="F284">
        <f t="shared" si="12"/>
        <v>0</v>
      </c>
      <c r="G284">
        <f t="shared" si="13"/>
        <v>49221878</v>
      </c>
    </row>
    <row r="285" spans="1:7">
      <c r="A285" t="s">
        <v>365</v>
      </c>
      <c r="B285">
        <v>1328261</v>
      </c>
      <c r="C285">
        <v>34</v>
      </c>
      <c r="F285">
        <f t="shared" si="12"/>
        <v>0</v>
      </c>
      <c r="G285">
        <f t="shared" si="13"/>
        <v>45160874</v>
      </c>
    </row>
    <row r="286" spans="1:7">
      <c r="A286" t="s">
        <v>615</v>
      </c>
      <c r="B286">
        <v>845164</v>
      </c>
      <c r="C286">
        <v>53</v>
      </c>
      <c r="F286">
        <f t="shared" si="12"/>
        <v>0</v>
      </c>
      <c r="G286">
        <f t="shared" si="13"/>
        <v>44793692</v>
      </c>
    </row>
    <row r="287" spans="1:7">
      <c r="A287" t="s">
        <v>563</v>
      </c>
      <c r="B287">
        <v>1915764</v>
      </c>
      <c r="C287">
        <v>23</v>
      </c>
      <c r="F287">
        <f t="shared" si="12"/>
        <v>0</v>
      </c>
      <c r="G287">
        <f t="shared" si="13"/>
        <v>44062572</v>
      </c>
    </row>
    <row r="288" spans="1:7">
      <c r="A288" t="s">
        <v>561</v>
      </c>
      <c r="B288">
        <v>1320820</v>
      </c>
      <c r="C288">
        <v>33</v>
      </c>
      <c r="F288">
        <f t="shared" si="12"/>
        <v>0</v>
      </c>
      <c r="G288">
        <f t="shared" si="13"/>
        <v>43587060</v>
      </c>
    </row>
    <row r="289" spans="1:7">
      <c r="A289" t="s">
        <v>419</v>
      </c>
      <c r="B289">
        <v>923950</v>
      </c>
      <c r="C289">
        <v>43</v>
      </c>
      <c r="F289">
        <f t="shared" si="12"/>
        <v>0</v>
      </c>
      <c r="G289">
        <f t="shared" si="13"/>
        <v>39729850</v>
      </c>
    </row>
    <row r="290" spans="1:7">
      <c r="A290" t="s">
        <v>367</v>
      </c>
      <c r="B290">
        <v>1097420</v>
      </c>
      <c r="C290">
        <v>36</v>
      </c>
      <c r="F290">
        <f t="shared" si="12"/>
        <v>0</v>
      </c>
      <c r="G290">
        <f t="shared" si="13"/>
        <v>39507120</v>
      </c>
    </row>
    <row r="291" spans="1:7">
      <c r="A291" t="s">
        <v>691</v>
      </c>
      <c r="B291">
        <v>1619391</v>
      </c>
      <c r="C291">
        <v>24</v>
      </c>
      <c r="F291">
        <f t="shared" si="12"/>
        <v>0</v>
      </c>
      <c r="G291">
        <f t="shared" si="13"/>
        <v>38865384</v>
      </c>
    </row>
    <row r="292" spans="1:7">
      <c r="A292" t="s">
        <v>463</v>
      </c>
      <c r="B292">
        <v>1431379</v>
      </c>
      <c r="C292">
        <v>26</v>
      </c>
      <c r="F292">
        <f t="shared" si="12"/>
        <v>0</v>
      </c>
      <c r="G292">
        <f t="shared" si="13"/>
        <v>37215854</v>
      </c>
    </row>
    <row r="293" spans="1:7">
      <c r="A293" t="s">
        <v>461</v>
      </c>
      <c r="B293">
        <v>697367</v>
      </c>
      <c r="C293">
        <v>53</v>
      </c>
      <c r="F293">
        <f t="shared" si="12"/>
        <v>0</v>
      </c>
      <c r="G293">
        <f t="shared" si="13"/>
        <v>36960451</v>
      </c>
    </row>
    <row r="294" spans="1:7">
      <c r="A294" t="s">
        <v>649</v>
      </c>
      <c r="B294">
        <v>3284695</v>
      </c>
      <c r="C294">
        <v>11</v>
      </c>
      <c r="F294">
        <f t="shared" si="12"/>
        <v>0</v>
      </c>
      <c r="G294">
        <f t="shared" si="13"/>
        <v>36131645</v>
      </c>
    </row>
    <row r="295" spans="1:7">
      <c r="A295" t="s">
        <v>431</v>
      </c>
      <c r="B295">
        <v>1114173</v>
      </c>
      <c r="C295">
        <v>32</v>
      </c>
      <c r="F295">
        <f t="shared" si="12"/>
        <v>0</v>
      </c>
      <c r="G295">
        <f t="shared" si="13"/>
        <v>35653536</v>
      </c>
    </row>
    <row r="296" spans="1:7">
      <c r="A296" t="s">
        <v>607</v>
      </c>
      <c r="B296">
        <v>1697685</v>
      </c>
      <c r="C296">
        <v>21</v>
      </c>
      <c r="F296">
        <f t="shared" si="12"/>
        <v>0</v>
      </c>
      <c r="G296">
        <f t="shared" si="13"/>
        <v>35651385</v>
      </c>
    </row>
    <row r="297" spans="1:7">
      <c r="A297" t="s">
        <v>539</v>
      </c>
      <c r="B297">
        <v>1150062</v>
      </c>
      <c r="C297">
        <v>29</v>
      </c>
      <c r="F297">
        <f t="shared" si="12"/>
        <v>0</v>
      </c>
      <c r="G297">
        <f t="shared" si="13"/>
        <v>33351798</v>
      </c>
    </row>
    <row r="298" spans="1:7">
      <c r="A298" t="s">
        <v>523</v>
      </c>
      <c r="B298">
        <v>636664</v>
      </c>
      <c r="C298">
        <v>52</v>
      </c>
      <c r="F298">
        <f t="shared" si="12"/>
        <v>0</v>
      </c>
      <c r="G298">
        <f t="shared" si="13"/>
        <v>33106528</v>
      </c>
    </row>
    <row r="299" spans="1:7">
      <c r="A299" t="s">
        <v>597</v>
      </c>
      <c r="B299">
        <v>931711</v>
      </c>
      <c r="C299">
        <v>35</v>
      </c>
      <c r="F299">
        <f t="shared" si="12"/>
        <v>0</v>
      </c>
      <c r="G299">
        <f t="shared" si="13"/>
        <v>32609885</v>
      </c>
    </row>
    <row r="300" spans="1:7">
      <c r="A300" t="s">
        <v>659</v>
      </c>
      <c r="B300">
        <v>1149626</v>
      </c>
      <c r="C300">
        <v>28</v>
      </c>
      <c r="F300">
        <f t="shared" si="12"/>
        <v>0</v>
      </c>
      <c r="G300">
        <f t="shared" si="13"/>
        <v>32189528</v>
      </c>
    </row>
    <row r="301" spans="1:7">
      <c r="A301" t="s">
        <v>401</v>
      </c>
      <c r="B301">
        <v>495085</v>
      </c>
      <c r="C301">
        <v>64</v>
      </c>
      <c r="F301">
        <f t="shared" si="12"/>
        <v>0</v>
      </c>
      <c r="G301">
        <f t="shared" si="13"/>
        <v>31685440</v>
      </c>
    </row>
    <row r="302" spans="1:7">
      <c r="A302" t="s">
        <v>357</v>
      </c>
      <c r="B302">
        <v>988004</v>
      </c>
      <c r="C302">
        <v>31</v>
      </c>
      <c r="F302">
        <f t="shared" si="12"/>
        <v>0</v>
      </c>
      <c r="G302">
        <f t="shared" si="13"/>
        <v>30628124</v>
      </c>
    </row>
    <row r="303" spans="1:7">
      <c r="A303" t="s">
        <v>513</v>
      </c>
      <c r="B303">
        <v>3261442</v>
      </c>
      <c r="C303">
        <v>9</v>
      </c>
      <c r="F303">
        <f t="shared" si="12"/>
        <v>0</v>
      </c>
      <c r="G303">
        <f t="shared" si="13"/>
        <v>29352978</v>
      </c>
    </row>
    <row r="304" spans="1:7">
      <c r="A304" t="s">
        <v>627</v>
      </c>
      <c r="B304">
        <v>1011614</v>
      </c>
      <c r="C304">
        <v>29</v>
      </c>
      <c r="F304">
        <f t="shared" si="12"/>
        <v>0</v>
      </c>
      <c r="G304">
        <f t="shared" si="13"/>
        <v>29336806</v>
      </c>
    </row>
    <row r="305" spans="1:7">
      <c r="A305" t="s">
        <v>389</v>
      </c>
      <c r="B305">
        <v>759234</v>
      </c>
      <c r="C305">
        <v>38</v>
      </c>
      <c r="F305">
        <f t="shared" si="12"/>
        <v>0</v>
      </c>
      <c r="G305">
        <f t="shared" si="13"/>
        <v>28850892</v>
      </c>
    </row>
    <row r="306" spans="1:7">
      <c r="A306" t="s">
        <v>559</v>
      </c>
      <c r="B306">
        <v>1108690</v>
      </c>
      <c r="C306">
        <v>26</v>
      </c>
      <c r="F306">
        <f t="shared" si="12"/>
        <v>0</v>
      </c>
      <c r="G306">
        <f t="shared" si="13"/>
        <v>28825940</v>
      </c>
    </row>
    <row r="307" spans="1:7">
      <c r="A307" t="s">
        <v>645</v>
      </c>
      <c r="B307">
        <v>989176</v>
      </c>
      <c r="C307">
        <v>29</v>
      </c>
      <c r="F307">
        <f t="shared" si="12"/>
        <v>0</v>
      </c>
      <c r="G307">
        <f t="shared" si="13"/>
        <v>28686104</v>
      </c>
    </row>
    <row r="308" spans="1:7">
      <c r="A308" t="s">
        <v>665</v>
      </c>
      <c r="B308">
        <v>638433</v>
      </c>
      <c r="C308">
        <v>43</v>
      </c>
      <c r="F308">
        <f t="shared" si="12"/>
        <v>0</v>
      </c>
      <c r="G308">
        <f t="shared" si="13"/>
        <v>27452619</v>
      </c>
    </row>
    <row r="309" spans="1:7">
      <c r="A309" t="s">
        <v>639</v>
      </c>
      <c r="B309">
        <v>935706</v>
      </c>
      <c r="C309">
        <v>29</v>
      </c>
      <c r="F309">
        <f t="shared" si="12"/>
        <v>0</v>
      </c>
      <c r="G309">
        <f t="shared" si="13"/>
        <v>27135474</v>
      </c>
    </row>
    <row r="310" spans="1:7">
      <c r="A310" t="s">
        <v>477</v>
      </c>
      <c r="B310">
        <v>1039535</v>
      </c>
      <c r="C310">
        <v>25</v>
      </c>
      <c r="F310">
        <f t="shared" si="12"/>
        <v>0</v>
      </c>
      <c r="G310">
        <f t="shared" si="13"/>
        <v>25988375</v>
      </c>
    </row>
    <row r="311" spans="1:7">
      <c r="A311" t="s">
        <v>433</v>
      </c>
      <c r="B311">
        <v>786771</v>
      </c>
      <c r="C311">
        <v>32</v>
      </c>
      <c r="F311">
        <f t="shared" si="12"/>
        <v>0</v>
      </c>
      <c r="G311">
        <f t="shared" si="13"/>
        <v>25176672</v>
      </c>
    </row>
    <row r="312" spans="1:7">
      <c r="A312" t="s">
        <v>417</v>
      </c>
      <c r="B312">
        <v>884245</v>
      </c>
      <c r="C312">
        <v>28</v>
      </c>
      <c r="F312">
        <f t="shared" si="12"/>
        <v>0</v>
      </c>
      <c r="G312">
        <f t="shared" si="13"/>
        <v>24758860</v>
      </c>
    </row>
    <row r="313" spans="1:7">
      <c r="A313" t="s">
        <v>519</v>
      </c>
      <c r="B313">
        <v>1124509</v>
      </c>
      <c r="C313">
        <v>22</v>
      </c>
      <c r="F313">
        <f t="shared" si="12"/>
        <v>0</v>
      </c>
      <c r="G313">
        <f t="shared" si="13"/>
        <v>24739198</v>
      </c>
    </row>
    <row r="314" spans="1:7">
      <c r="A314" t="s">
        <v>517</v>
      </c>
      <c r="B314">
        <v>654728</v>
      </c>
      <c r="C314">
        <v>37</v>
      </c>
      <c r="F314">
        <f t="shared" si="12"/>
        <v>0</v>
      </c>
      <c r="G314">
        <f t="shared" si="13"/>
        <v>24224936</v>
      </c>
    </row>
    <row r="315" spans="1:7">
      <c r="A315" t="s">
        <v>373</v>
      </c>
      <c r="B315">
        <v>787533</v>
      </c>
      <c r="C315">
        <v>30</v>
      </c>
      <c r="F315">
        <f t="shared" si="12"/>
        <v>0</v>
      </c>
      <c r="G315">
        <f t="shared" si="13"/>
        <v>23625990</v>
      </c>
    </row>
    <row r="316" spans="1:7">
      <c r="A316" t="s">
        <v>381</v>
      </c>
      <c r="B316">
        <v>361985</v>
      </c>
      <c r="C316">
        <v>63</v>
      </c>
      <c r="F316">
        <f t="shared" si="12"/>
        <v>0</v>
      </c>
      <c r="G316">
        <f t="shared" si="13"/>
        <v>22805055</v>
      </c>
    </row>
    <row r="317" spans="1:7">
      <c r="A317" t="s">
        <v>527</v>
      </c>
      <c r="B317">
        <v>874291</v>
      </c>
      <c r="C317">
        <v>25</v>
      </c>
      <c r="F317">
        <f t="shared" si="12"/>
        <v>0</v>
      </c>
      <c r="G317">
        <f t="shared" si="13"/>
        <v>21857275</v>
      </c>
    </row>
    <row r="318" spans="1:7">
      <c r="A318" t="s">
        <v>555</v>
      </c>
      <c r="B318">
        <v>470302</v>
      </c>
      <c r="C318">
        <v>46</v>
      </c>
      <c r="F318">
        <f t="shared" si="12"/>
        <v>0</v>
      </c>
      <c r="G318">
        <f t="shared" si="13"/>
        <v>21633892</v>
      </c>
    </row>
    <row r="319" spans="1:7">
      <c r="A319" t="s">
        <v>593</v>
      </c>
      <c r="B319">
        <v>732059</v>
      </c>
      <c r="C319">
        <v>29</v>
      </c>
      <c r="F319">
        <f t="shared" si="12"/>
        <v>0</v>
      </c>
      <c r="G319">
        <f t="shared" si="13"/>
        <v>21229711</v>
      </c>
    </row>
    <row r="320" spans="1:7">
      <c r="A320" t="s">
        <v>567</v>
      </c>
      <c r="B320">
        <v>1317037</v>
      </c>
      <c r="C320">
        <v>16</v>
      </c>
      <c r="F320">
        <f t="shared" si="12"/>
        <v>0</v>
      </c>
      <c r="G320">
        <f t="shared" si="13"/>
        <v>21072592</v>
      </c>
    </row>
    <row r="321" spans="1:7">
      <c r="A321" t="s">
        <v>361</v>
      </c>
      <c r="B321">
        <v>809687</v>
      </c>
      <c r="C321">
        <v>26</v>
      </c>
      <c r="F321">
        <f t="shared" si="12"/>
        <v>0</v>
      </c>
      <c r="G321">
        <f t="shared" si="13"/>
        <v>21051862</v>
      </c>
    </row>
    <row r="322" spans="1:7">
      <c r="A322" t="s">
        <v>529</v>
      </c>
      <c r="B322">
        <v>303688</v>
      </c>
      <c r="C322">
        <v>69</v>
      </c>
      <c r="F322">
        <f t="shared" si="12"/>
        <v>0</v>
      </c>
      <c r="G322">
        <f t="shared" si="13"/>
        <v>20954472</v>
      </c>
    </row>
    <row r="323" spans="1:7">
      <c r="A323" t="s">
        <v>623</v>
      </c>
      <c r="B323">
        <v>493298</v>
      </c>
      <c r="C323">
        <v>42</v>
      </c>
      <c r="F323">
        <f t="shared" ref="F323:F386" si="14">E323*B323</f>
        <v>0</v>
      </c>
      <c r="G323">
        <f t="shared" ref="G323:G386" si="15">C323*B323</f>
        <v>20718516</v>
      </c>
    </row>
    <row r="324" spans="1:7">
      <c r="A324" t="s">
        <v>467</v>
      </c>
      <c r="B324">
        <v>475659</v>
      </c>
      <c r="C324">
        <v>43</v>
      </c>
      <c r="F324">
        <f t="shared" si="14"/>
        <v>0</v>
      </c>
      <c r="G324">
        <f t="shared" si="15"/>
        <v>20453337</v>
      </c>
    </row>
    <row r="325" spans="1:7">
      <c r="A325" t="s">
        <v>449</v>
      </c>
      <c r="B325">
        <v>905985</v>
      </c>
      <c r="C325">
        <v>22</v>
      </c>
      <c r="F325">
        <f t="shared" si="14"/>
        <v>0</v>
      </c>
      <c r="G325">
        <f t="shared" si="15"/>
        <v>19931670</v>
      </c>
    </row>
    <row r="326" spans="1:7">
      <c r="A326" t="s">
        <v>505</v>
      </c>
      <c r="B326">
        <v>1529184</v>
      </c>
      <c r="C326">
        <v>13</v>
      </c>
      <c r="F326">
        <f t="shared" si="14"/>
        <v>0</v>
      </c>
      <c r="G326">
        <f t="shared" si="15"/>
        <v>19879392</v>
      </c>
    </row>
    <row r="327" spans="1:7">
      <c r="A327" t="s">
        <v>495</v>
      </c>
      <c r="B327">
        <v>432269</v>
      </c>
      <c r="C327">
        <v>44</v>
      </c>
      <c r="F327">
        <f t="shared" si="14"/>
        <v>0</v>
      </c>
      <c r="G327">
        <f t="shared" si="15"/>
        <v>19019836</v>
      </c>
    </row>
    <row r="328" spans="1:7">
      <c r="A328" t="s">
        <v>447</v>
      </c>
      <c r="B328">
        <v>653401</v>
      </c>
      <c r="C328">
        <v>29</v>
      </c>
      <c r="F328">
        <f t="shared" si="14"/>
        <v>0</v>
      </c>
      <c r="G328">
        <f t="shared" si="15"/>
        <v>18948629</v>
      </c>
    </row>
    <row r="329" spans="1:7">
      <c r="A329" t="s">
        <v>673</v>
      </c>
      <c r="B329">
        <v>459239</v>
      </c>
      <c r="C329">
        <v>40</v>
      </c>
      <c r="F329">
        <f t="shared" si="14"/>
        <v>0</v>
      </c>
      <c r="G329">
        <f t="shared" si="15"/>
        <v>18369560</v>
      </c>
    </row>
    <row r="330" spans="1:7">
      <c r="A330" t="s">
        <v>577</v>
      </c>
      <c r="B330">
        <v>1201137</v>
      </c>
      <c r="C330">
        <v>15</v>
      </c>
      <c r="F330">
        <f t="shared" si="14"/>
        <v>0</v>
      </c>
      <c r="G330">
        <f t="shared" si="15"/>
        <v>18017055</v>
      </c>
    </row>
    <row r="331" spans="1:7">
      <c r="A331" t="s">
        <v>587</v>
      </c>
      <c r="B331">
        <v>715502</v>
      </c>
      <c r="C331">
        <v>25</v>
      </c>
      <c r="F331">
        <f t="shared" si="14"/>
        <v>0</v>
      </c>
      <c r="G331">
        <f t="shared" si="15"/>
        <v>17887550</v>
      </c>
    </row>
    <row r="332" spans="1:7">
      <c r="A332" t="s">
        <v>437</v>
      </c>
      <c r="B332">
        <v>1442442</v>
      </c>
      <c r="C332">
        <v>12</v>
      </c>
      <c r="F332">
        <f t="shared" si="14"/>
        <v>0</v>
      </c>
      <c r="G332">
        <f t="shared" si="15"/>
        <v>17309304</v>
      </c>
    </row>
    <row r="333" spans="1:7">
      <c r="A333" t="s">
        <v>355</v>
      </c>
      <c r="B333">
        <v>684007</v>
      </c>
      <c r="C333">
        <v>24</v>
      </c>
      <c r="F333">
        <f t="shared" si="14"/>
        <v>0</v>
      </c>
      <c r="G333">
        <f t="shared" si="15"/>
        <v>16416168</v>
      </c>
    </row>
    <row r="334" spans="1:7">
      <c r="A334" t="s">
        <v>541</v>
      </c>
      <c r="B334">
        <v>451786</v>
      </c>
      <c r="C334">
        <v>36</v>
      </c>
      <c r="F334">
        <f t="shared" si="14"/>
        <v>0</v>
      </c>
      <c r="G334">
        <f t="shared" si="15"/>
        <v>16264296</v>
      </c>
    </row>
    <row r="335" spans="1:7">
      <c r="A335" t="s">
        <v>619</v>
      </c>
      <c r="B335">
        <v>998419</v>
      </c>
      <c r="C335">
        <v>16</v>
      </c>
      <c r="F335">
        <f t="shared" si="14"/>
        <v>0</v>
      </c>
      <c r="G335">
        <f t="shared" si="15"/>
        <v>15974704</v>
      </c>
    </row>
    <row r="336" spans="1:7">
      <c r="A336" t="s">
        <v>621</v>
      </c>
      <c r="B336">
        <v>350632</v>
      </c>
      <c r="C336">
        <v>44</v>
      </c>
      <c r="F336">
        <f t="shared" si="14"/>
        <v>0</v>
      </c>
      <c r="G336">
        <f t="shared" si="15"/>
        <v>15427808</v>
      </c>
    </row>
    <row r="337" spans="1:7">
      <c r="A337" t="s">
        <v>525</v>
      </c>
      <c r="B337">
        <v>765746</v>
      </c>
      <c r="C337">
        <v>20</v>
      </c>
      <c r="F337">
        <f t="shared" si="14"/>
        <v>0</v>
      </c>
      <c r="G337">
        <f t="shared" si="15"/>
        <v>15314920</v>
      </c>
    </row>
    <row r="338" spans="1:7">
      <c r="A338" t="s">
        <v>379</v>
      </c>
      <c r="B338">
        <v>708962</v>
      </c>
      <c r="C338">
        <v>21</v>
      </c>
      <c r="F338">
        <f t="shared" si="14"/>
        <v>0</v>
      </c>
      <c r="G338">
        <f t="shared" si="15"/>
        <v>14888202</v>
      </c>
    </row>
    <row r="339" spans="1:7">
      <c r="A339" t="s">
        <v>647</v>
      </c>
      <c r="B339">
        <v>406850</v>
      </c>
      <c r="C339">
        <v>35</v>
      </c>
      <c r="F339">
        <f t="shared" si="14"/>
        <v>0</v>
      </c>
      <c r="G339">
        <f t="shared" si="15"/>
        <v>14239750</v>
      </c>
    </row>
    <row r="340" spans="1:7">
      <c r="A340" t="s">
        <v>375</v>
      </c>
      <c r="B340">
        <v>643866</v>
      </c>
      <c r="C340">
        <v>22</v>
      </c>
      <c r="F340">
        <f t="shared" si="14"/>
        <v>0</v>
      </c>
      <c r="G340">
        <f t="shared" si="15"/>
        <v>14165052</v>
      </c>
    </row>
    <row r="341" spans="1:7">
      <c r="A341" t="s">
        <v>385</v>
      </c>
      <c r="B341">
        <v>406091</v>
      </c>
      <c r="C341">
        <v>32</v>
      </c>
      <c r="F341">
        <f t="shared" si="14"/>
        <v>0</v>
      </c>
      <c r="G341">
        <f t="shared" si="15"/>
        <v>12994912</v>
      </c>
    </row>
    <row r="342" spans="1:7">
      <c r="A342" t="s">
        <v>591</v>
      </c>
      <c r="B342">
        <v>610724</v>
      </c>
      <c r="C342">
        <v>21</v>
      </c>
      <c r="F342">
        <f t="shared" si="14"/>
        <v>0</v>
      </c>
      <c r="G342">
        <f t="shared" si="15"/>
        <v>12825204</v>
      </c>
    </row>
    <row r="343" spans="1:7">
      <c r="A343" t="s">
        <v>421</v>
      </c>
      <c r="B343">
        <v>891698</v>
      </c>
      <c r="C343">
        <v>14</v>
      </c>
      <c r="F343">
        <f t="shared" si="14"/>
        <v>0</v>
      </c>
      <c r="G343">
        <f t="shared" si="15"/>
        <v>12483772</v>
      </c>
    </row>
    <row r="344" spans="1:7">
      <c r="A344" t="s">
        <v>617</v>
      </c>
      <c r="B344">
        <v>350471</v>
      </c>
      <c r="C344">
        <v>35</v>
      </c>
      <c r="F344">
        <f t="shared" si="14"/>
        <v>0</v>
      </c>
      <c r="G344">
        <f t="shared" si="15"/>
        <v>12266485</v>
      </c>
    </row>
    <row r="345" spans="1:7">
      <c r="A345" t="s">
        <v>441</v>
      </c>
      <c r="B345">
        <v>251932</v>
      </c>
      <c r="C345">
        <v>48</v>
      </c>
      <c r="F345">
        <f t="shared" si="14"/>
        <v>0</v>
      </c>
      <c r="G345">
        <f t="shared" si="15"/>
        <v>12092736</v>
      </c>
    </row>
    <row r="346" spans="1:7">
      <c r="A346" t="s">
        <v>511</v>
      </c>
      <c r="B346">
        <v>498709</v>
      </c>
      <c r="C346">
        <v>24</v>
      </c>
      <c r="F346">
        <f t="shared" si="14"/>
        <v>0</v>
      </c>
      <c r="G346">
        <f t="shared" si="15"/>
        <v>11969016</v>
      </c>
    </row>
    <row r="347" spans="1:7">
      <c r="A347" t="s">
        <v>497</v>
      </c>
      <c r="B347">
        <v>558882</v>
      </c>
      <c r="C347">
        <v>21</v>
      </c>
      <c r="F347">
        <f t="shared" si="14"/>
        <v>0</v>
      </c>
      <c r="G347">
        <f t="shared" si="15"/>
        <v>11736522</v>
      </c>
    </row>
    <row r="348" spans="1:7">
      <c r="A348" t="s">
        <v>445</v>
      </c>
      <c r="B348">
        <v>607987</v>
      </c>
      <c r="C348">
        <v>18</v>
      </c>
      <c r="F348">
        <f t="shared" si="14"/>
        <v>0</v>
      </c>
      <c r="G348">
        <f t="shared" si="15"/>
        <v>10943766</v>
      </c>
    </row>
    <row r="349" spans="1:7">
      <c r="A349" t="s">
        <v>557</v>
      </c>
      <c r="B349">
        <v>408115</v>
      </c>
      <c r="C349">
        <v>26</v>
      </c>
      <c r="F349">
        <f t="shared" si="14"/>
        <v>0</v>
      </c>
      <c r="G349">
        <f t="shared" si="15"/>
        <v>10610990</v>
      </c>
    </row>
    <row r="350" spans="1:7">
      <c r="A350" t="s">
        <v>661</v>
      </c>
      <c r="B350">
        <v>420912</v>
      </c>
      <c r="C350">
        <v>25</v>
      </c>
      <c r="F350">
        <f t="shared" si="14"/>
        <v>0</v>
      </c>
      <c r="G350">
        <f t="shared" si="15"/>
        <v>10522800</v>
      </c>
    </row>
    <row r="351" spans="1:7">
      <c r="A351" t="s">
        <v>537</v>
      </c>
      <c r="B351">
        <v>315818</v>
      </c>
      <c r="C351">
        <v>32</v>
      </c>
      <c r="F351">
        <f t="shared" si="14"/>
        <v>0</v>
      </c>
      <c r="G351">
        <f t="shared" si="15"/>
        <v>10106176</v>
      </c>
    </row>
    <row r="352" spans="1:7">
      <c r="A352" t="s">
        <v>521</v>
      </c>
      <c r="B352">
        <v>338716</v>
      </c>
      <c r="C352">
        <v>28</v>
      </c>
      <c r="F352">
        <f t="shared" si="14"/>
        <v>0</v>
      </c>
      <c r="G352">
        <f t="shared" si="15"/>
        <v>9484048</v>
      </c>
    </row>
    <row r="353" spans="1:7">
      <c r="A353" t="s">
        <v>459</v>
      </c>
      <c r="B353">
        <v>365284</v>
      </c>
      <c r="C353">
        <v>25</v>
      </c>
      <c r="F353">
        <f t="shared" si="14"/>
        <v>0</v>
      </c>
      <c r="G353">
        <f t="shared" si="15"/>
        <v>9132100</v>
      </c>
    </row>
    <row r="354" spans="1:7">
      <c r="A354" t="s">
        <v>397</v>
      </c>
      <c r="B354">
        <v>259833</v>
      </c>
      <c r="C354">
        <v>35</v>
      </c>
      <c r="F354">
        <f t="shared" si="14"/>
        <v>0</v>
      </c>
      <c r="G354">
        <f t="shared" si="15"/>
        <v>9094155</v>
      </c>
    </row>
    <row r="355" spans="1:7">
      <c r="A355" t="s">
        <v>651</v>
      </c>
      <c r="B355">
        <v>428251</v>
      </c>
      <c r="C355">
        <v>20</v>
      </c>
      <c r="F355">
        <f t="shared" si="14"/>
        <v>0</v>
      </c>
      <c r="G355">
        <f t="shared" si="15"/>
        <v>8565020</v>
      </c>
    </row>
    <row r="356" spans="1:7">
      <c r="A356" t="s">
        <v>653</v>
      </c>
      <c r="B356">
        <v>428144</v>
      </c>
      <c r="C356">
        <v>20</v>
      </c>
      <c r="F356">
        <f t="shared" si="14"/>
        <v>0</v>
      </c>
      <c r="G356">
        <f t="shared" si="15"/>
        <v>8562880</v>
      </c>
    </row>
    <row r="357" spans="1:7">
      <c r="A357" t="s">
        <v>359</v>
      </c>
      <c r="B357">
        <v>496336</v>
      </c>
      <c r="C357">
        <v>17</v>
      </c>
      <c r="F357">
        <f t="shared" si="14"/>
        <v>0</v>
      </c>
      <c r="G357">
        <f t="shared" si="15"/>
        <v>8437712</v>
      </c>
    </row>
    <row r="358" spans="1:7">
      <c r="A358" t="s">
        <v>535</v>
      </c>
      <c r="B358">
        <v>329055</v>
      </c>
      <c r="C358">
        <v>25</v>
      </c>
      <c r="F358">
        <f t="shared" si="14"/>
        <v>0</v>
      </c>
      <c r="G358">
        <f t="shared" si="15"/>
        <v>8226375</v>
      </c>
    </row>
    <row r="359" spans="1:7">
      <c r="A359" t="s">
        <v>585</v>
      </c>
      <c r="B359">
        <v>345439</v>
      </c>
      <c r="C359">
        <v>23</v>
      </c>
      <c r="F359">
        <f t="shared" si="14"/>
        <v>0</v>
      </c>
      <c r="G359">
        <f t="shared" si="15"/>
        <v>7945097</v>
      </c>
    </row>
    <row r="360" spans="1:7">
      <c r="A360" t="s">
        <v>507</v>
      </c>
      <c r="B360">
        <v>265532</v>
      </c>
      <c r="C360">
        <v>29</v>
      </c>
      <c r="F360">
        <f t="shared" si="14"/>
        <v>0</v>
      </c>
      <c r="G360">
        <f t="shared" si="15"/>
        <v>7700428</v>
      </c>
    </row>
    <row r="361" spans="1:7">
      <c r="A361" t="s">
        <v>369</v>
      </c>
      <c r="B361">
        <v>714864</v>
      </c>
      <c r="C361">
        <v>10</v>
      </c>
      <c r="F361">
        <f t="shared" si="14"/>
        <v>0</v>
      </c>
      <c r="G361">
        <f t="shared" si="15"/>
        <v>7148640</v>
      </c>
    </row>
    <row r="362" spans="1:7">
      <c r="A362" t="s">
        <v>409</v>
      </c>
      <c r="B362">
        <v>405214</v>
      </c>
      <c r="C362">
        <v>17</v>
      </c>
      <c r="F362">
        <f t="shared" si="14"/>
        <v>0</v>
      </c>
      <c r="G362">
        <f t="shared" si="15"/>
        <v>6888638</v>
      </c>
    </row>
    <row r="363" spans="1:7">
      <c r="A363" t="s">
        <v>687</v>
      </c>
      <c r="B363">
        <v>586703</v>
      </c>
      <c r="C363">
        <v>11</v>
      </c>
      <c r="F363">
        <f t="shared" si="14"/>
        <v>0</v>
      </c>
      <c r="G363">
        <f t="shared" si="15"/>
        <v>6453733</v>
      </c>
    </row>
    <row r="364" spans="1:7">
      <c r="A364" t="s">
        <v>689</v>
      </c>
      <c r="B364">
        <v>553750</v>
      </c>
      <c r="C364">
        <v>11</v>
      </c>
      <c r="F364">
        <f t="shared" si="14"/>
        <v>0</v>
      </c>
      <c r="G364">
        <f t="shared" si="15"/>
        <v>6091250</v>
      </c>
    </row>
    <row r="365" spans="1:7">
      <c r="A365" t="s">
        <v>503</v>
      </c>
      <c r="B365">
        <v>375599</v>
      </c>
      <c r="C365">
        <v>16</v>
      </c>
      <c r="F365">
        <f t="shared" si="14"/>
        <v>0</v>
      </c>
      <c r="G365">
        <f t="shared" si="15"/>
        <v>6009584</v>
      </c>
    </row>
    <row r="366" spans="1:7">
      <c r="A366" t="s">
        <v>551</v>
      </c>
      <c r="B366">
        <v>224159</v>
      </c>
      <c r="C366">
        <v>24</v>
      </c>
      <c r="F366">
        <f t="shared" si="14"/>
        <v>0</v>
      </c>
      <c r="G366">
        <f t="shared" si="15"/>
        <v>5379816</v>
      </c>
    </row>
    <row r="367" spans="1:7">
      <c r="A367" t="s">
        <v>677</v>
      </c>
      <c r="B367">
        <v>404254</v>
      </c>
      <c r="C367">
        <v>13</v>
      </c>
      <c r="F367">
        <f t="shared" si="14"/>
        <v>0</v>
      </c>
      <c r="G367">
        <f t="shared" si="15"/>
        <v>5255302</v>
      </c>
    </row>
    <row r="368" spans="1:7">
      <c r="A368" t="s">
        <v>679</v>
      </c>
      <c r="B368">
        <v>338205</v>
      </c>
      <c r="C368">
        <v>15</v>
      </c>
      <c r="F368">
        <f t="shared" si="14"/>
        <v>0</v>
      </c>
      <c r="G368">
        <f t="shared" si="15"/>
        <v>5073075</v>
      </c>
    </row>
    <row r="369" spans="1:7">
      <c r="A369" t="s">
        <v>393</v>
      </c>
      <c r="B369">
        <v>248646</v>
      </c>
      <c r="C369">
        <v>20</v>
      </c>
      <c r="F369">
        <f t="shared" si="14"/>
        <v>0</v>
      </c>
      <c r="G369">
        <f t="shared" si="15"/>
        <v>4972920</v>
      </c>
    </row>
    <row r="370" spans="1:7">
      <c r="A370" t="s">
        <v>395</v>
      </c>
      <c r="B370">
        <v>350771</v>
      </c>
      <c r="C370">
        <v>14</v>
      </c>
      <c r="F370">
        <f t="shared" si="14"/>
        <v>0</v>
      </c>
      <c r="G370">
        <f t="shared" si="15"/>
        <v>4910794</v>
      </c>
    </row>
    <row r="371" spans="1:7">
      <c r="A371" t="s">
        <v>465</v>
      </c>
      <c r="B371">
        <v>442996</v>
      </c>
      <c r="C371">
        <v>11</v>
      </c>
      <c r="F371">
        <f t="shared" si="14"/>
        <v>0</v>
      </c>
      <c r="G371">
        <f t="shared" si="15"/>
        <v>4872956</v>
      </c>
    </row>
    <row r="372" spans="1:7">
      <c r="A372" t="s">
        <v>455</v>
      </c>
      <c r="B372">
        <v>310545</v>
      </c>
      <c r="C372">
        <v>15</v>
      </c>
      <c r="F372">
        <f t="shared" si="14"/>
        <v>0</v>
      </c>
      <c r="G372">
        <f t="shared" si="15"/>
        <v>4658175</v>
      </c>
    </row>
    <row r="373" spans="1:7">
      <c r="A373" t="s">
        <v>613</v>
      </c>
      <c r="B373">
        <v>221318</v>
      </c>
      <c r="C373">
        <v>21</v>
      </c>
      <c r="F373">
        <f t="shared" si="14"/>
        <v>0</v>
      </c>
      <c r="G373">
        <f t="shared" si="15"/>
        <v>4647678</v>
      </c>
    </row>
    <row r="374" spans="1:7">
      <c r="A374" t="s">
        <v>403</v>
      </c>
      <c r="B374">
        <v>211952</v>
      </c>
      <c r="C374">
        <v>20</v>
      </c>
      <c r="F374">
        <f t="shared" si="14"/>
        <v>0</v>
      </c>
      <c r="G374">
        <f t="shared" si="15"/>
        <v>4239040</v>
      </c>
    </row>
    <row r="375" spans="1:7">
      <c r="A375" t="s">
        <v>435</v>
      </c>
      <c r="B375">
        <v>372847</v>
      </c>
      <c r="C375">
        <v>11</v>
      </c>
      <c r="F375">
        <f t="shared" si="14"/>
        <v>0</v>
      </c>
      <c r="G375">
        <f t="shared" si="15"/>
        <v>4101317</v>
      </c>
    </row>
    <row r="376" spans="1:7">
      <c r="A376" t="s">
        <v>581</v>
      </c>
      <c r="B376">
        <v>209449</v>
      </c>
      <c r="C376">
        <v>17</v>
      </c>
      <c r="F376">
        <f t="shared" si="14"/>
        <v>0</v>
      </c>
      <c r="G376">
        <f t="shared" si="15"/>
        <v>3560633</v>
      </c>
    </row>
    <row r="377" spans="1:7">
      <c r="A377" t="s">
        <v>575</v>
      </c>
      <c r="B377">
        <v>593231</v>
      </c>
      <c r="C377">
        <v>6</v>
      </c>
      <c r="F377">
        <f t="shared" si="14"/>
        <v>0</v>
      </c>
      <c r="G377">
        <f t="shared" si="15"/>
        <v>3559386</v>
      </c>
    </row>
    <row r="378" spans="1:7">
      <c r="A378" t="s">
        <v>405</v>
      </c>
      <c r="B378">
        <v>134427</v>
      </c>
      <c r="C378">
        <v>25</v>
      </c>
      <c r="F378">
        <f t="shared" si="14"/>
        <v>0</v>
      </c>
      <c r="G378">
        <f t="shared" si="15"/>
        <v>3360675</v>
      </c>
    </row>
    <row r="379" spans="1:7">
      <c r="A379" t="s">
        <v>439</v>
      </c>
      <c r="B379">
        <v>176038</v>
      </c>
      <c r="C379">
        <v>19</v>
      </c>
      <c r="F379">
        <f t="shared" si="14"/>
        <v>0</v>
      </c>
      <c r="G379">
        <f t="shared" si="15"/>
        <v>3344722</v>
      </c>
    </row>
    <row r="380" spans="1:7">
      <c r="A380" t="s">
        <v>549</v>
      </c>
      <c r="B380">
        <v>237733</v>
      </c>
      <c r="C380">
        <v>14</v>
      </c>
      <c r="F380">
        <f t="shared" si="14"/>
        <v>0</v>
      </c>
      <c r="G380">
        <f t="shared" si="15"/>
        <v>3328262</v>
      </c>
    </row>
    <row r="381" spans="1:7">
      <c r="A381" t="s">
        <v>501</v>
      </c>
      <c r="B381">
        <v>319634</v>
      </c>
      <c r="C381">
        <v>9</v>
      </c>
      <c r="F381">
        <f t="shared" si="14"/>
        <v>0</v>
      </c>
      <c r="G381">
        <f t="shared" si="15"/>
        <v>2876706</v>
      </c>
    </row>
    <row r="382" spans="1:7">
      <c r="A382" t="s">
        <v>655</v>
      </c>
      <c r="B382">
        <v>71871</v>
      </c>
      <c r="C382">
        <v>39</v>
      </c>
      <c r="F382">
        <f t="shared" si="14"/>
        <v>0</v>
      </c>
      <c r="G382">
        <f t="shared" si="15"/>
        <v>2802969</v>
      </c>
    </row>
    <row r="383" spans="1:7">
      <c r="A383" t="s">
        <v>411</v>
      </c>
      <c r="B383">
        <v>254143</v>
      </c>
      <c r="C383">
        <v>11</v>
      </c>
      <c r="F383">
        <f t="shared" si="14"/>
        <v>0</v>
      </c>
      <c r="G383">
        <f t="shared" si="15"/>
        <v>2795573</v>
      </c>
    </row>
    <row r="384" spans="1:7">
      <c r="A384" t="s">
        <v>363</v>
      </c>
      <c r="B384">
        <v>154298</v>
      </c>
      <c r="C384">
        <v>18</v>
      </c>
      <c r="F384">
        <f t="shared" si="14"/>
        <v>0</v>
      </c>
      <c r="G384">
        <f t="shared" si="15"/>
        <v>2777364</v>
      </c>
    </row>
    <row r="385" spans="1:7">
      <c r="A385" t="s">
        <v>683</v>
      </c>
      <c r="B385">
        <v>64097</v>
      </c>
      <c r="C385">
        <v>35</v>
      </c>
      <c r="F385">
        <f t="shared" si="14"/>
        <v>0</v>
      </c>
      <c r="G385">
        <f t="shared" si="15"/>
        <v>2243395</v>
      </c>
    </row>
    <row r="386" spans="1:7">
      <c r="A386" t="s">
        <v>453</v>
      </c>
      <c r="B386">
        <v>275683</v>
      </c>
      <c r="C386">
        <v>7</v>
      </c>
      <c r="F386">
        <f t="shared" si="14"/>
        <v>0</v>
      </c>
      <c r="G386">
        <f t="shared" si="15"/>
        <v>1929781</v>
      </c>
    </row>
    <row r="387" spans="1:7">
      <c r="A387" t="s">
        <v>493</v>
      </c>
      <c r="B387">
        <v>75969</v>
      </c>
      <c r="C387">
        <v>24</v>
      </c>
      <c r="F387">
        <f t="shared" ref="F387:F403" si="16">E387*B387</f>
        <v>0</v>
      </c>
      <c r="G387">
        <f t="shared" ref="G387:G403" si="17">C387*B387</f>
        <v>1823256</v>
      </c>
    </row>
    <row r="388" spans="1:7">
      <c r="A388" t="s">
        <v>657</v>
      </c>
      <c r="B388">
        <v>91488</v>
      </c>
      <c r="C388">
        <v>19</v>
      </c>
      <c r="F388">
        <f t="shared" si="16"/>
        <v>0</v>
      </c>
      <c r="G388">
        <f t="shared" si="17"/>
        <v>1738272</v>
      </c>
    </row>
    <row r="389" spans="1:7">
      <c r="A389" t="s">
        <v>509</v>
      </c>
      <c r="B389">
        <v>105177</v>
      </c>
      <c r="C389">
        <v>16</v>
      </c>
      <c r="F389">
        <f t="shared" si="16"/>
        <v>0</v>
      </c>
      <c r="G389">
        <f t="shared" si="17"/>
        <v>1682832</v>
      </c>
    </row>
    <row r="390" spans="1:7">
      <c r="A390" t="s">
        <v>377</v>
      </c>
      <c r="B390">
        <v>75013</v>
      </c>
      <c r="C390">
        <v>19</v>
      </c>
      <c r="F390">
        <f t="shared" si="16"/>
        <v>0</v>
      </c>
      <c r="G390">
        <f t="shared" si="17"/>
        <v>1425247</v>
      </c>
    </row>
    <row r="391" spans="1:7">
      <c r="A391" t="s">
        <v>681</v>
      </c>
      <c r="B391">
        <v>73927</v>
      </c>
      <c r="C391">
        <v>16</v>
      </c>
      <c r="F391">
        <f t="shared" si="16"/>
        <v>0</v>
      </c>
      <c r="G391">
        <f t="shared" si="17"/>
        <v>1182832</v>
      </c>
    </row>
    <row r="392" spans="1:7">
      <c r="A392" t="s">
        <v>611</v>
      </c>
      <c r="B392">
        <v>124129</v>
      </c>
      <c r="C392">
        <v>9</v>
      </c>
      <c r="F392">
        <f t="shared" si="16"/>
        <v>0</v>
      </c>
      <c r="G392">
        <f t="shared" si="17"/>
        <v>1117161</v>
      </c>
    </row>
    <row r="393" spans="1:7">
      <c r="A393" t="s">
        <v>573</v>
      </c>
      <c r="B393">
        <v>143764</v>
      </c>
      <c r="C393">
        <v>6</v>
      </c>
      <c r="F393">
        <f t="shared" si="16"/>
        <v>0</v>
      </c>
      <c r="G393">
        <f t="shared" si="17"/>
        <v>862584</v>
      </c>
    </row>
    <row r="394" spans="1:7">
      <c r="A394" t="s">
        <v>583</v>
      </c>
      <c r="B394">
        <v>29094</v>
      </c>
      <c r="C394">
        <v>17</v>
      </c>
      <c r="F394">
        <f t="shared" si="16"/>
        <v>0</v>
      </c>
      <c r="G394">
        <f t="shared" si="17"/>
        <v>494598</v>
      </c>
    </row>
    <row r="395" spans="1:7">
      <c r="A395" t="s">
        <v>547</v>
      </c>
      <c r="B395">
        <v>36542</v>
      </c>
      <c r="C395">
        <v>13</v>
      </c>
      <c r="F395">
        <f t="shared" si="16"/>
        <v>0</v>
      </c>
      <c r="G395">
        <f t="shared" si="17"/>
        <v>475046</v>
      </c>
    </row>
    <row r="396" spans="1:7">
      <c r="A396" t="s">
        <v>413</v>
      </c>
      <c r="B396">
        <v>39692</v>
      </c>
      <c r="C396">
        <v>9</v>
      </c>
      <c r="F396">
        <f t="shared" si="16"/>
        <v>0</v>
      </c>
      <c r="G396">
        <f t="shared" si="17"/>
        <v>357228</v>
      </c>
    </row>
    <row r="397" spans="1:7">
      <c r="A397" t="s">
        <v>387</v>
      </c>
      <c r="B397">
        <v>25731</v>
      </c>
      <c r="C397">
        <v>13</v>
      </c>
      <c r="F397">
        <f t="shared" si="16"/>
        <v>0</v>
      </c>
      <c r="G397">
        <f t="shared" si="17"/>
        <v>334503</v>
      </c>
    </row>
    <row r="398" spans="1:7">
      <c r="A398" t="s">
        <v>443</v>
      </c>
      <c r="B398">
        <v>10893</v>
      </c>
      <c r="C398">
        <v>13</v>
      </c>
      <c r="F398">
        <f t="shared" si="16"/>
        <v>0</v>
      </c>
      <c r="G398">
        <f t="shared" si="17"/>
        <v>141609</v>
      </c>
    </row>
    <row r="399" spans="1:7">
      <c r="A399" t="s">
        <v>415</v>
      </c>
      <c r="B399">
        <v>6660</v>
      </c>
      <c r="C399">
        <v>20</v>
      </c>
      <c r="F399">
        <f t="shared" si="16"/>
        <v>0</v>
      </c>
      <c r="G399">
        <f t="shared" si="17"/>
        <v>133200</v>
      </c>
    </row>
    <row r="400" spans="1:7">
      <c r="A400" t="s">
        <v>487</v>
      </c>
      <c r="B400">
        <v>6143</v>
      </c>
      <c r="C400">
        <v>7</v>
      </c>
      <c r="F400">
        <f t="shared" si="16"/>
        <v>0</v>
      </c>
      <c r="G400">
        <f t="shared" si="17"/>
        <v>43001</v>
      </c>
    </row>
    <row r="401" spans="1:7">
      <c r="A401" t="s">
        <v>571</v>
      </c>
      <c r="B401">
        <v>5288</v>
      </c>
      <c r="C401">
        <v>6</v>
      </c>
      <c r="F401">
        <f t="shared" si="16"/>
        <v>0</v>
      </c>
      <c r="G401">
        <f t="shared" si="17"/>
        <v>31728</v>
      </c>
    </row>
    <row r="402" spans="1:7">
      <c r="A402" t="s">
        <v>553</v>
      </c>
      <c r="B402">
        <v>6668</v>
      </c>
      <c r="C402">
        <v>4</v>
      </c>
      <c r="F402">
        <f t="shared" si="16"/>
        <v>0</v>
      </c>
      <c r="G402">
        <f t="shared" si="17"/>
        <v>26672</v>
      </c>
    </row>
    <row r="403" spans="1:7">
      <c r="A403" t="s">
        <v>427</v>
      </c>
      <c r="B403">
        <v>1</v>
      </c>
      <c r="C403">
        <v>0</v>
      </c>
      <c r="F403">
        <f t="shared" si="16"/>
        <v>0</v>
      </c>
      <c r="G403">
        <f t="shared" si="17"/>
        <v>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274"/>
  <sheetViews>
    <sheetView topLeftCell="A181" workbookViewId="0">
      <selection activeCell="A192" sqref="A192"/>
    </sheetView>
  </sheetViews>
  <sheetFormatPr defaultColWidth="9" defaultRowHeight="13.5"/>
  <sheetData>
    <row r="1" spans="1:1">
      <c r="A1" t="s">
        <v>68</v>
      </c>
    </row>
    <row r="2" spans="1:1">
      <c r="A2" t="s">
        <v>122</v>
      </c>
    </row>
    <row r="3" spans="1:1">
      <c r="A3" t="s">
        <v>38</v>
      </c>
    </row>
    <row r="4" spans="1:1">
      <c r="A4" t="s">
        <v>57</v>
      </c>
    </row>
    <row r="5" spans="1:1">
      <c r="A5" t="s">
        <v>63</v>
      </c>
    </row>
    <row r="6" spans="1:1">
      <c r="A6" t="s">
        <v>85</v>
      </c>
    </row>
    <row r="7" spans="1:1">
      <c r="A7" t="s">
        <v>87</v>
      </c>
    </row>
    <row r="8" spans="1:1">
      <c r="A8" t="s">
        <v>126</v>
      </c>
    </row>
    <row r="9" spans="1:1">
      <c r="A9" t="s">
        <v>111</v>
      </c>
    </row>
    <row r="10" spans="1:1">
      <c r="A10" t="s">
        <v>135</v>
      </c>
    </row>
    <row r="11" spans="1:1">
      <c r="A11" t="s">
        <v>118</v>
      </c>
    </row>
    <row r="12" spans="1:1">
      <c r="A12" t="s">
        <v>161</v>
      </c>
    </row>
    <row r="13" spans="1:1">
      <c r="A13" t="s">
        <v>171</v>
      </c>
    </row>
    <row r="14" spans="1:1">
      <c r="A14" t="s">
        <v>164</v>
      </c>
    </row>
    <row r="15" spans="1:1">
      <c r="A15" t="s">
        <v>166</v>
      </c>
    </row>
    <row r="16" spans="1:1">
      <c r="A16" t="s">
        <v>200</v>
      </c>
    </row>
    <row r="17" spans="1:1">
      <c r="A17" t="s">
        <v>185</v>
      </c>
    </row>
    <row r="18" spans="1:1">
      <c r="A18" t="s">
        <v>236</v>
      </c>
    </row>
    <row r="19" spans="1:1">
      <c r="A19" t="s">
        <v>239</v>
      </c>
    </row>
    <row r="20" spans="1:1">
      <c r="A20" t="s">
        <v>232</v>
      </c>
    </row>
    <row r="21" spans="1:1">
      <c r="A21" t="s">
        <v>256</v>
      </c>
    </row>
    <row r="22" spans="1:1">
      <c r="A22" t="s">
        <v>9</v>
      </c>
    </row>
    <row r="23" spans="1:1">
      <c r="A23" t="s">
        <v>12</v>
      </c>
    </row>
    <row r="24" spans="1:1">
      <c r="A24" t="s">
        <v>14</v>
      </c>
    </row>
    <row r="25" spans="1:1">
      <c r="A25" t="s">
        <v>35</v>
      </c>
    </row>
    <row r="26" spans="1:1">
      <c r="A26" t="s">
        <v>31</v>
      </c>
    </row>
    <row r="27" spans="1:1">
      <c r="A27" t="s">
        <v>55</v>
      </c>
    </row>
    <row r="28" spans="1:1">
      <c r="A28" t="s">
        <v>17</v>
      </c>
    </row>
    <row r="29" spans="1:1">
      <c r="A29" t="s">
        <v>22</v>
      </c>
    </row>
    <row r="30" spans="1:1">
      <c r="A30" t="s">
        <v>26</v>
      </c>
    </row>
    <row r="31" spans="1:1">
      <c r="A31" t="s">
        <v>20</v>
      </c>
    </row>
    <row r="32" spans="1:1">
      <c r="A32" t="s">
        <v>29</v>
      </c>
    </row>
    <row r="33" spans="1:1">
      <c r="A33" t="s">
        <v>45</v>
      </c>
    </row>
    <row r="34" spans="1:1">
      <c r="A34" t="s">
        <v>47</v>
      </c>
    </row>
    <row r="35" spans="1:1">
      <c r="A35" t="s">
        <v>40</v>
      </c>
    </row>
    <row r="36" spans="1:1">
      <c r="A36" t="s">
        <v>42</v>
      </c>
    </row>
    <row r="37" spans="1:1">
      <c r="A37" t="s">
        <v>51</v>
      </c>
    </row>
    <row r="38" spans="1:1">
      <c r="A38" t="s">
        <v>77</v>
      </c>
    </row>
    <row r="39" spans="1:1">
      <c r="A39" t="s">
        <v>49</v>
      </c>
    </row>
    <row r="40" spans="1:1">
      <c r="A40" t="s">
        <v>53</v>
      </c>
    </row>
    <row r="41" spans="1:1">
      <c r="A41" t="s">
        <v>83</v>
      </c>
    </row>
    <row r="42" spans="1:1">
      <c r="A42" t="s">
        <v>89</v>
      </c>
    </row>
    <row r="43" spans="1:1">
      <c r="A43" t="s">
        <v>74</v>
      </c>
    </row>
    <row r="44" spans="1:1">
      <c r="A44" t="s">
        <v>65</v>
      </c>
    </row>
    <row r="45" spans="1:1">
      <c r="A45" t="s">
        <v>59</v>
      </c>
    </row>
    <row r="46" spans="1:1">
      <c r="A46" t="s">
        <v>61</v>
      </c>
    </row>
    <row r="47" spans="1:1">
      <c r="A47" t="s">
        <v>98</v>
      </c>
    </row>
    <row r="48" spans="1:1">
      <c r="A48" t="s">
        <v>81</v>
      </c>
    </row>
    <row r="49" spans="1:1">
      <c r="A49" t="s">
        <v>129</v>
      </c>
    </row>
    <row r="50" spans="1:1">
      <c r="A50" t="s">
        <v>71</v>
      </c>
    </row>
    <row r="51" spans="1:1">
      <c r="A51" t="s">
        <v>79</v>
      </c>
    </row>
    <row r="52" spans="1:1">
      <c r="A52" t="s">
        <v>109</v>
      </c>
    </row>
    <row r="53" spans="1:1">
      <c r="A53" t="s">
        <v>131</v>
      </c>
    </row>
    <row r="54" spans="1:1">
      <c r="A54" t="s">
        <v>93</v>
      </c>
    </row>
    <row r="55" spans="1:1">
      <c r="A55" t="s">
        <v>114</v>
      </c>
    </row>
    <row r="56" spans="1:1">
      <c r="A56" t="s">
        <v>91</v>
      </c>
    </row>
    <row r="57" spans="1:1">
      <c r="A57" t="s">
        <v>100</v>
      </c>
    </row>
    <row r="58" spans="1:1">
      <c r="A58" t="s">
        <v>96</v>
      </c>
    </row>
    <row r="59" spans="1:1">
      <c r="A59" t="s">
        <v>105</v>
      </c>
    </row>
    <row r="60" spans="1:1">
      <c r="A60" t="s">
        <v>107</v>
      </c>
    </row>
    <row r="61" spans="1:1">
      <c r="A61" t="s">
        <v>103</v>
      </c>
    </row>
    <row r="62" spans="1:1">
      <c r="A62" t="s">
        <v>156</v>
      </c>
    </row>
    <row r="63" spans="1:1">
      <c r="A63" t="s">
        <v>143</v>
      </c>
    </row>
    <row r="64" spans="1:1">
      <c r="A64" t="s">
        <v>137</v>
      </c>
    </row>
    <row r="65" spans="1:1">
      <c r="A65" t="s">
        <v>149</v>
      </c>
    </row>
    <row r="66" spans="1:1">
      <c r="A66" t="s">
        <v>175</v>
      </c>
    </row>
    <row r="67" spans="1:1">
      <c r="A67" t="s">
        <v>141</v>
      </c>
    </row>
    <row r="68" spans="1:1">
      <c r="A68" t="s">
        <v>139</v>
      </c>
    </row>
    <row r="69" spans="1:1">
      <c r="A69" t="s">
        <v>116</v>
      </c>
    </row>
    <row r="70" spans="1:1">
      <c r="A70" t="s">
        <v>181</v>
      </c>
    </row>
    <row r="71" spans="1:1">
      <c r="A71" t="s">
        <v>151</v>
      </c>
    </row>
    <row r="72" spans="1:1">
      <c r="A72" t="s">
        <v>133</v>
      </c>
    </row>
    <row r="73" spans="1:1">
      <c r="A73" t="s">
        <v>173</v>
      </c>
    </row>
    <row r="74" spans="1:1">
      <c r="A74" t="s">
        <v>154</v>
      </c>
    </row>
    <row r="75" spans="1:1">
      <c r="A75" t="s">
        <v>212</v>
      </c>
    </row>
    <row r="76" spans="1:1">
      <c r="A76" t="s">
        <v>147</v>
      </c>
    </row>
    <row r="77" spans="1:1">
      <c r="A77" t="s">
        <v>221</v>
      </c>
    </row>
    <row r="78" spans="1:1">
      <c r="A78" t="s">
        <v>169</v>
      </c>
    </row>
    <row r="79" spans="1:1">
      <c r="A79" t="s">
        <v>195</v>
      </c>
    </row>
    <row r="80" spans="1:1">
      <c r="A80" t="s">
        <v>234</v>
      </c>
    </row>
    <row r="81" spans="1:1">
      <c r="A81" t="s">
        <v>187</v>
      </c>
    </row>
    <row r="82" spans="1:1">
      <c r="A82" t="s">
        <v>179</v>
      </c>
    </row>
    <row r="83" spans="1:1">
      <c r="A83" t="s">
        <v>205</v>
      </c>
    </row>
    <row r="84" spans="1:1">
      <c r="A84" t="s">
        <v>229</v>
      </c>
    </row>
    <row r="85" spans="1:1">
      <c r="A85" t="s">
        <v>249</v>
      </c>
    </row>
    <row r="86" spans="1:1">
      <c r="A86" t="s">
        <v>214</v>
      </c>
    </row>
    <row r="87" spans="1:1">
      <c r="A87" t="s">
        <v>253</v>
      </c>
    </row>
    <row r="88" spans="1:1">
      <c r="A88" t="s">
        <v>244</v>
      </c>
    </row>
    <row r="89" spans="1:1">
      <c r="A89" t="s">
        <v>224</v>
      </c>
    </row>
    <row r="90" spans="1:1">
      <c r="A90" t="s">
        <v>209</v>
      </c>
    </row>
    <row r="91" spans="1:1">
      <c r="A91" t="s">
        <v>219</v>
      </c>
    </row>
    <row r="92" spans="1:1">
      <c r="A92" t="s">
        <v>242</v>
      </c>
    </row>
    <row r="93" spans="1:1">
      <c r="A93" t="s">
        <v>246</v>
      </c>
    </row>
    <row r="94" spans="1:1">
      <c r="A94" t="s">
        <v>281</v>
      </c>
    </row>
    <row r="95" spans="1:1">
      <c r="A95" t="s">
        <v>251</v>
      </c>
    </row>
    <row r="96" spans="1:1">
      <c r="A96" t="s">
        <v>287</v>
      </c>
    </row>
    <row r="97" spans="1:1">
      <c r="A97" t="s">
        <v>299</v>
      </c>
    </row>
    <row r="98" spans="1:1">
      <c r="A98" t="s">
        <v>259</v>
      </c>
    </row>
    <row r="99" spans="1:1">
      <c r="A99" t="s">
        <v>266</v>
      </c>
    </row>
    <row r="100" spans="1:1">
      <c r="A100" t="s">
        <v>272</v>
      </c>
    </row>
    <row r="101" spans="1:1">
      <c r="A101" t="s">
        <v>310</v>
      </c>
    </row>
    <row r="102" spans="1:1">
      <c r="A102" t="s">
        <v>312</v>
      </c>
    </row>
    <row r="103" spans="1:1">
      <c r="A103" t="s">
        <v>317</v>
      </c>
    </row>
    <row r="104" spans="1:1">
      <c r="A104" t="s">
        <v>333</v>
      </c>
    </row>
    <row r="105" spans="1:1">
      <c r="A105" t="s">
        <v>344</v>
      </c>
    </row>
    <row r="106" spans="1:1">
      <c r="A106" t="s">
        <v>634</v>
      </c>
    </row>
    <row r="107" spans="1:1">
      <c r="A107" t="s">
        <v>566</v>
      </c>
    </row>
    <row r="108" spans="1:1">
      <c r="A108" t="s">
        <v>472</v>
      </c>
    </row>
    <row r="109" spans="1:1">
      <c r="A109" t="s">
        <v>670</v>
      </c>
    </row>
    <row r="110" spans="1:1">
      <c r="A110" t="s">
        <v>516</v>
      </c>
    </row>
    <row r="111" spans="1:1">
      <c r="A111" t="s">
        <v>644</v>
      </c>
    </row>
    <row r="112" spans="1:1">
      <c r="A112" t="s">
        <v>532</v>
      </c>
    </row>
    <row r="113" spans="1:1">
      <c r="A113" t="s">
        <v>476</v>
      </c>
    </row>
    <row r="114" spans="1:1">
      <c r="A114" t="s">
        <v>642</v>
      </c>
    </row>
    <row r="115" spans="1:1">
      <c r="A115" t="s">
        <v>596</v>
      </c>
    </row>
    <row r="116" spans="1:1">
      <c r="A116" t="s">
        <v>600</v>
      </c>
    </row>
    <row r="117" spans="1:1">
      <c r="A117" t="s">
        <v>452</v>
      </c>
    </row>
    <row r="118" spans="1:1">
      <c r="A118" t="s">
        <v>482</v>
      </c>
    </row>
    <row r="119" spans="1:1">
      <c r="A119" t="s">
        <v>430</v>
      </c>
    </row>
    <row r="120" spans="1:1">
      <c r="A120" t="s">
        <v>664</v>
      </c>
    </row>
    <row r="121" spans="1:1">
      <c r="A121" t="s">
        <v>626</v>
      </c>
    </row>
    <row r="122" spans="1:1">
      <c r="A122" t="s">
        <v>676</v>
      </c>
    </row>
    <row r="123" spans="1:1">
      <c r="A123" t="s">
        <v>486</v>
      </c>
    </row>
    <row r="124" spans="1:1">
      <c r="A124" t="s">
        <v>474</v>
      </c>
    </row>
    <row r="125" spans="1:1">
      <c r="A125" t="s">
        <v>686</v>
      </c>
    </row>
    <row r="126" spans="1:1">
      <c r="A126" t="s">
        <v>470</v>
      </c>
    </row>
    <row r="127" spans="1:1">
      <c r="A127" t="s">
        <v>384</v>
      </c>
    </row>
    <row r="128" spans="1:1">
      <c r="A128" t="s">
        <v>492</v>
      </c>
    </row>
    <row r="129" spans="1:1">
      <c r="A129" t="s">
        <v>570</v>
      </c>
    </row>
    <row r="130" spans="1:1">
      <c r="A130" t="s">
        <v>484</v>
      </c>
    </row>
    <row r="131" spans="1:1">
      <c r="A131" t="s">
        <v>426</v>
      </c>
    </row>
    <row r="132" spans="1:1">
      <c r="A132" t="s">
        <v>672</v>
      </c>
    </row>
    <row r="133" spans="1:1">
      <c r="A133" t="s">
        <v>632</v>
      </c>
    </row>
    <row r="134" spans="1:1">
      <c r="A134" t="s">
        <v>602</v>
      </c>
    </row>
    <row r="135" spans="1:1">
      <c r="A135" t="s">
        <v>408</v>
      </c>
    </row>
    <row r="136" spans="1:1">
      <c r="A136" t="s">
        <v>372</v>
      </c>
    </row>
    <row r="137" spans="1:1">
      <c r="A137" t="s">
        <v>400</v>
      </c>
    </row>
    <row r="138" spans="1:1">
      <c r="A138" t="s">
        <v>580</v>
      </c>
    </row>
    <row r="139" spans="1:1">
      <c r="A139" t="s">
        <v>590</v>
      </c>
    </row>
    <row r="140" spans="1:1">
      <c r="A140" t="s">
        <v>604</v>
      </c>
    </row>
    <row r="141" spans="1:1">
      <c r="A141" t="s">
        <v>480</v>
      </c>
    </row>
    <row r="142" spans="1:1">
      <c r="A142" t="s">
        <v>500</v>
      </c>
    </row>
    <row r="143" spans="1:1">
      <c r="A143" t="s">
        <v>630</v>
      </c>
    </row>
    <row r="144" spans="1:1">
      <c r="A144" t="s">
        <v>546</v>
      </c>
    </row>
    <row r="145" spans="1:1">
      <c r="A145" t="s">
        <v>424</v>
      </c>
    </row>
    <row r="146" spans="1:1">
      <c r="A146" t="s">
        <v>544</v>
      </c>
    </row>
    <row r="147" spans="1:1">
      <c r="A147" t="s">
        <v>534</v>
      </c>
    </row>
    <row r="148" spans="1:1">
      <c r="A148" t="s">
        <v>606</v>
      </c>
    </row>
    <row r="149" spans="1:1">
      <c r="A149" t="s">
        <v>458</v>
      </c>
    </row>
    <row r="150" spans="1:1">
      <c r="A150" t="s">
        <v>392</v>
      </c>
    </row>
    <row r="151" spans="1:1">
      <c r="A151" t="s">
        <v>610</v>
      </c>
    </row>
    <row r="152" spans="1:1">
      <c r="A152" t="s">
        <v>668</v>
      </c>
    </row>
    <row r="153" spans="1:1">
      <c r="A153" t="s">
        <v>490</v>
      </c>
    </row>
    <row r="154" spans="1:1">
      <c r="A154" t="s">
        <v>638</v>
      </c>
    </row>
    <row r="155" spans="1:1">
      <c r="A155" t="s">
        <v>636</v>
      </c>
    </row>
    <row r="156" spans="1:1">
      <c r="A156" t="s">
        <v>366</v>
      </c>
    </row>
    <row r="157" spans="1:1">
      <c r="A157" t="s">
        <v>616</v>
      </c>
    </row>
    <row r="158" spans="1:1">
      <c r="A158" t="s">
        <v>564</v>
      </c>
    </row>
    <row r="159" spans="1:1">
      <c r="A159" t="s">
        <v>562</v>
      </c>
    </row>
    <row r="160" spans="1:1">
      <c r="A160" t="s">
        <v>420</v>
      </c>
    </row>
    <row r="161" spans="1:1">
      <c r="A161" t="s">
        <v>368</v>
      </c>
    </row>
    <row r="162" spans="1:1">
      <c r="A162" t="s">
        <v>692</v>
      </c>
    </row>
    <row r="163" spans="1:1">
      <c r="A163" t="s">
        <v>464</v>
      </c>
    </row>
    <row r="164" spans="1:1">
      <c r="A164" t="s">
        <v>462</v>
      </c>
    </row>
    <row r="165" spans="1:1">
      <c r="A165" t="s">
        <v>650</v>
      </c>
    </row>
    <row r="166" spans="1:1">
      <c r="A166" t="s">
        <v>432</v>
      </c>
    </row>
    <row r="167" spans="1:1">
      <c r="A167" t="s">
        <v>608</v>
      </c>
    </row>
    <row r="168" spans="1:1">
      <c r="A168" t="s">
        <v>540</v>
      </c>
    </row>
    <row r="169" spans="1:1">
      <c r="A169" t="s">
        <v>524</v>
      </c>
    </row>
    <row r="170" spans="1:1">
      <c r="A170" t="s">
        <v>598</v>
      </c>
    </row>
    <row r="171" spans="1:1">
      <c r="A171" t="s">
        <v>660</v>
      </c>
    </row>
    <row r="172" spans="1:1">
      <c r="A172" t="s">
        <v>402</v>
      </c>
    </row>
    <row r="173" spans="1:1">
      <c r="A173" t="s">
        <v>358</v>
      </c>
    </row>
    <row r="174" spans="1:1">
      <c r="A174" t="s">
        <v>514</v>
      </c>
    </row>
    <row r="175" spans="1:1">
      <c r="A175" t="s">
        <v>628</v>
      </c>
    </row>
    <row r="176" spans="1:1">
      <c r="A176" t="s">
        <v>390</v>
      </c>
    </row>
    <row r="177" spans="1:1">
      <c r="A177" t="s">
        <v>560</v>
      </c>
    </row>
    <row r="178" spans="1:1">
      <c r="A178" t="s">
        <v>646</v>
      </c>
    </row>
    <row r="179" spans="1:1">
      <c r="A179" t="s">
        <v>666</v>
      </c>
    </row>
    <row r="180" spans="1:1">
      <c r="A180" t="s">
        <v>640</v>
      </c>
    </row>
    <row r="181" spans="1:1">
      <c r="A181" t="s">
        <v>478</v>
      </c>
    </row>
    <row r="182" spans="1:1">
      <c r="A182" t="s">
        <v>434</v>
      </c>
    </row>
    <row r="183" spans="1:1">
      <c r="A183" t="s">
        <v>418</v>
      </c>
    </row>
    <row r="184" spans="1:1">
      <c r="A184" t="s">
        <v>520</v>
      </c>
    </row>
    <row r="185" spans="1:1">
      <c r="A185" t="s">
        <v>518</v>
      </c>
    </row>
    <row r="186" spans="1:1">
      <c r="A186" t="s">
        <v>374</v>
      </c>
    </row>
    <row r="187" spans="1:1">
      <c r="A187" t="s">
        <v>382</v>
      </c>
    </row>
    <row r="188" spans="1:1">
      <c r="A188" t="s">
        <v>528</v>
      </c>
    </row>
    <row r="189" spans="1:1">
      <c r="A189" t="s">
        <v>556</v>
      </c>
    </row>
    <row r="190" spans="1:1">
      <c r="A190" t="s">
        <v>594</v>
      </c>
    </row>
    <row r="191" spans="1:1">
      <c r="A191" t="s">
        <v>568</v>
      </c>
    </row>
    <row r="192" spans="1:1">
      <c r="A192" t="s">
        <v>362</v>
      </c>
    </row>
    <row r="193" spans="1:1">
      <c r="A193" t="s">
        <v>530</v>
      </c>
    </row>
    <row r="194" spans="1:1">
      <c r="A194" t="s">
        <v>624</v>
      </c>
    </row>
    <row r="195" spans="1:1">
      <c r="A195" t="s">
        <v>468</v>
      </c>
    </row>
    <row r="196" spans="1:1">
      <c r="A196" t="s">
        <v>450</v>
      </c>
    </row>
    <row r="197" spans="1:1">
      <c r="A197" t="s">
        <v>506</v>
      </c>
    </row>
    <row r="198" spans="1:1">
      <c r="A198" t="s">
        <v>496</v>
      </c>
    </row>
    <row r="199" spans="1:1">
      <c r="A199" t="s">
        <v>448</v>
      </c>
    </row>
    <row r="200" spans="1:1">
      <c r="A200" t="s">
        <v>674</v>
      </c>
    </row>
    <row r="201" spans="1:1">
      <c r="A201" t="s">
        <v>578</v>
      </c>
    </row>
    <row r="202" spans="1:1">
      <c r="A202" t="s">
        <v>588</v>
      </c>
    </row>
    <row r="203" spans="1:1">
      <c r="A203" t="s">
        <v>438</v>
      </c>
    </row>
    <row r="204" spans="1:1">
      <c r="A204" t="s">
        <v>356</v>
      </c>
    </row>
    <row r="205" spans="1:1">
      <c r="A205" t="s">
        <v>542</v>
      </c>
    </row>
    <row r="206" spans="1:1">
      <c r="A206" t="s">
        <v>620</v>
      </c>
    </row>
    <row r="207" spans="1:1">
      <c r="A207" t="s">
        <v>622</v>
      </c>
    </row>
    <row r="208" spans="1:1">
      <c r="A208" t="s">
        <v>526</v>
      </c>
    </row>
    <row r="209" spans="1:1">
      <c r="A209" t="s">
        <v>380</v>
      </c>
    </row>
    <row r="210" spans="1:1">
      <c r="A210" t="s">
        <v>648</v>
      </c>
    </row>
    <row r="211" spans="1:1">
      <c r="A211" t="s">
        <v>376</v>
      </c>
    </row>
    <row r="212" spans="1:1">
      <c r="A212" t="s">
        <v>386</v>
      </c>
    </row>
    <row r="213" spans="1:1">
      <c r="A213" t="s">
        <v>592</v>
      </c>
    </row>
    <row r="214" spans="1:1">
      <c r="A214" t="s">
        <v>422</v>
      </c>
    </row>
    <row r="215" spans="1:1">
      <c r="A215" t="s">
        <v>618</v>
      </c>
    </row>
    <row r="216" spans="1:1">
      <c r="A216" t="s">
        <v>442</v>
      </c>
    </row>
    <row r="217" spans="1:1">
      <c r="A217" t="s">
        <v>512</v>
      </c>
    </row>
    <row r="218" spans="1:1">
      <c r="A218" t="s">
        <v>498</v>
      </c>
    </row>
    <row r="219" spans="1:1">
      <c r="A219" t="s">
        <v>446</v>
      </c>
    </row>
    <row r="220" spans="1:1">
      <c r="A220" t="s">
        <v>558</v>
      </c>
    </row>
    <row r="221" spans="1:1">
      <c r="A221" t="s">
        <v>662</v>
      </c>
    </row>
    <row r="222" spans="1:1">
      <c r="A222" t="s">
        <v>538</v>
      </c>
    </row>
    <row r="223" spans="1:1">
      <c r="A223" t="s">
        <v>522</v>
      </c>
    </row>
    <row r="224" spans="1:1">
      <c r="A224" t="s">
        <v>460</v>
      </c>
    </row>
    <row r="225" spans="1:1">
      <c r="A225" t="s">
        <v>398</v>
      </c>
    </row>
    <row r="226" spans="1:1">
      <c r="A226" t="s">
        <v>652</v>
      </c>
    </row>
    <row r="227" spans="1:1">
      <c r="A227" t="s">
        <v>654</v>
      </c>
    </row>
    <row r="228" spans="1:1">
      <c r="A228" t="s">
        <v>360</v>
      </c>
    </row>
    <row r="229" spans="1:1">
      <c r="A229" t="s">
        <v>536</v>
      </c>
    </row>
    <row r="230" spans="1:1">
      <c r="A230" t="s">
        <v>586</v>
      </c>
    </row>
    <row r="231" spans="1:1">
      <c r="A231" t="s">
        <v>508</v>
      </c>
    </row>
    <row r="232" spans="1:1">
      <c r="A232" t="s">
        <v>370</v>
      </c>
    </row>
    <row r="233" spans="1:1">
      <c r="A233" t="s">
        <v>410</v>
      </c>
    </row>
    <row r="234" spans="1:1">
      <c r="A234" t="s">
        <v>688</v>
      </c>
    </row>
    <row r="235" spans="1:1">
      <c r="A235" t="s">
        <v>690</v>
      </c>
    </row>
    <row r="236" spans="1:1">
      <c r="A236" t="s">
        <v>504</v>
      </c>
    </row>
    <row r="237" spans="1:1">
      <c r="A237" t="s">
        <v>552</v>
      </c>
    </row>
    <row r="238" spans="1:1">
      <c r="A238" t="s">
        <v>678</v>
      </c>
    </row>
    <row r="239" spans="1:1">
      <c r="A239" t="s">
        <v>680</v>
      </c>
    </row>
    <row r="240" spans="1:1">
      <c r="A240" t="s">
        <v>394</v>
      </c>
    </row>
    <row r="241" spans="1:1">
      <c r="A241" t="s">
        <v>396</v>
      </c>
    </row>
    <row r="242" spans="1:1">
      <c r="A242" t="s">
        <v>466</v>
      </c>
    </row>
    <row r="243" spans="1:1">
      <c r="A243" t="s">
        <v>456</v>
      </c>
    </row>
    <row r="244" spans="1:1">
      <c r="A244" t="s">
        <v>614</v>
      </c>
    </row>
    <row r="245" spans="1:1">
      <c r="A245" t="s">
        <v>404</v>
      </c>
    </row>
    <row r="246" spans="1:1">
      <c r="A246" t="s">
        <v>436</v>
      </c>
    </row>
    <row r="247" spans="1:1">
      <c r="A247" t="s">
        <v>582</v>
      </c>
    </row>
    <row r="248" spans="1:1">
      <c r="A248" t="s">
        <v>576</v>
      </c>
    </row>
    <row r="249" spans="1:1">
      <c r="A249" t="s">
        <v>406</v>
      </c>
    </row>
    <row r="250" spans="1:1">
      <c r="A250" t="s">
        <v>440</v>
      </c>
    </row>
    <row r="251" spans="1:1">
      <c r="A251" t="s">
        <v>550</v>
      </c>
    </row>
    <row r="252" spans="1:1">
      <c r="A252" t="s">
        <v>502</v>
      </c>
    </row>
    <row r="253" spans="1:1">
      <c r="A253" t="s">
        <v>656</v>
      </c>
    </row>
    <row r="254" spans="1:1">
      <c r="A254" t="s">
        <v>412</v>
      </c>
    </row>
    <row r="255" spans="1:1">
      <c r="A255" t="s">
        <v>364</v>
      </c>
    </row>
    <row r="256" spans="1:1">
      <c r="A256" t="s">
        <v>684</v>
      </c>
    </row>
    <row r="257" spans="1:1">
      <c r="A257" t="s">
        <v>454</v>
      </c>
    </row>
    <row r="258" spans="1:1">
      <c r="A258" t="s">
        <v>494</v>
      </c>
    </row>
    <row r="259" spans="1:1">
      <c r="A259" t="s">
        <v>658</v>
      </c>
    </row>
    <row r="260" spans="1:1">
      <c r="A260" t="s">
        <v>510</v>
      </c>
    </row>
    <row r="261" spans="1:1">
      <c r="A261" t="s">
        <v>378</v>
      </c>
    </row>
    <row r="262" spans="1:1">
      <c r="A262" t="s">
        <v>682</v>
      </c>
    </row>
    <row r="263" spans="1:1">
      <c r="A263" t="s">
        <v>612</v>
      </c>
    </row>
    <row r="264" spans="1:1">
      <c r="A264" t="s">
        <v>574</v>
      </c>
    </row>
    <row r="265" spans="1:1">
      <c r="A265" t="s">
        <v>584</v>
      </c>
    </row>
    <row r="266" spans="1:1">
      <c r="A266" t="s">
        <v>548</v>
      </c>
    </row>
    <row r="267" spans="1:1">
      <c r="A267" t="s">
        <v>414</v>
      </c>
    </row>
    <row r="268" spans="1:1">
      <c r="A268" t="s">
        <v>388</v>
      </c>
    </row>
    <row r="269" spans="1:1">
      <c r="A269" t="s">
        <v>444</v>
      </c>
    </row>
    <row r="270" spans="1:1">
      <c r="A270" t="s">
        <v>416</v>
      </c>
    </row>
    <row r="271" spans="1:1">
      <c r="A271" t="s">
        <v>488</v>
      </c>
    </row>
    <row r="272" spans="1:1">
      <c r="A272" t="s">
        <v>572</v>
      </c>
    </row>
    <row r="273" spans="1:1">
      <c r="A273" t="s">
        <v>554</v>
      </c>
    </row>
    <row r="274" spans="1:1">
      <c r="A274" t="s">
        <v>428</v>
      </c>
    </row>
  </sheetData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274"/>
  <sheetViews>
    <sheetView workbookViewId="0">
      <selection activeCell="B31" sqref="B31"/>
    </sheetView>
  </sheetViews>
  <sheetFormatPr defaultColWidth="9" defaultRowHeight="13.5"/>
  <cols>
    <col min="1" max="1" width="5.55833333333333" customWidth="1"/>
  </cols>
  <sheetData>
    <row r="1" spans="1:1">
      <c r="A1" t="s">
        <v>236</v>
      </c>
    </row>
    <row r="2" spans="1:1">
      <c r="A2" t="s">
        <v>17</v>
      </c>
    </row>
    <row r="3" spans="1:1">
      <c r="A3" t="s">
        <v>171</v>
      </c>
    </row>
    <row r="4" spans="1:1">
      <c r="A4" t="s">
        <v>478</v>
      </c>
    </row>
    <row r="5" spans="1:1">
      <c r="A5" t="s">
        <v>666</v>
      </c>
    </row>
    <row r="6" spans="1:1">
      <c r="A6" t="s">
        <v>65</v>
      </c>
    </row>
    <row r="7" spans="1:1">
      <c r="A7" t="s">
        <v>135</v>
      </c>
    </row>
    <row r="8" spans="1:1">
      <c r="A8" t="s">
        <v>508</v>
      </c>
    </row>
    <row r="9" spans="1:1">
      <c r="A9" t="s">
        <v>668</v>
      </c>
    </row>
    <row r="10" spans="1:1">
      <c r="A10" t="s">
        <v>684</v>
      </c>
    </row>
    <row r="11" spans="1:1">
      <c r="A11" t="s">
        <v>660</v>
      </c>
    </row>
    <row r="12" spans="1:1">
      <c r="A12" t="s">
        <v>699</v>
      </c>
    </row>
    <row r="13" spans="1:1">
      <c r="A13" t="s">
        <v>682</v>
      </c>
    </row>
    <row r="14" spans="1:1">
      <c r="A14" t="s">
        <v>129</v>
      </c>
    </row>
    <row r="15" spans="1:1">
      <c r="A15" t="s">
        <v>656</v>
      </c>
    </row>
    <row r="16" spans="1:1">
      <c r="A16" t="s">
        <v>590</v>
      </c>
    </row>
    <row r="17" spans="1:1">
      <c r="A17" t="s">
        <v>147</v>
      </c>
    </row>
    <row r="18" spans="1:1">
      <c r="A18" t="s">
        <v>242</v>
      </c>
    </row>
    <row r="19" spans="1:1">
      <c r="A19" t="s">
        <v>195</v>
      </c>
    </row>
    <row r="20" spans="1:1">
      <c r="A20" t="s">
        <v>219</v>
      </c>
    </row>
    <row r="21" spans="1:1">
      <c r="A21" t="s">
        <v>59</v>
      </c>
    </row>
    <row r="22" spans="1:1">
      <c r="A22" t="s">
        <v>476</v>
      </c>
    </row>
    <row r="23" spans="1:1">
      <c r="A23" t="s">
        <v>107</v>
      </c>
    </row>
    <row r="24" spans="1:1">
      <c r="A24" t="s">
        <v>428</v>
      </c>
    </row>
    <row r="25" spans="1:1">
      <c r="A25" t="s">
        <v>482</v>
      </c>
    </row>
    <row r="26" spans="1:1">
      <c r="A26" t="s">
        <v>486</v>
      </c>
    </row>
    <row r="27" spans="1:1">
      <c r="A27" t="s">
        <v>494</v>
      </c>
    </row>
    <row r="28" spans="1:1">
      <c r="A28" t="s">
        <v>131</v>
      </c>
    </row>
    <row r="29" spans="1:1">
      <c r="A29" t="s">
        <v>370</v>
      </c>
    </row>
    <row r="30" spans="1:1">
      <c r="A30" t="s">
        <v>488</v>
      </c>
    </row>
    <row r="31" spans="1:1">
      <c r="A31" t="s">
        <v>74</v>
      </c>
    </row>
    <row r="32" spans="1:1">
      <c r="A32" t="s">
        <v>626</v>
      </c>
    </row>
    <row r="33" spans="1:1">
      <c r="A33" t="s">
        <v>384</v>
      </c>
    </row>
    <row r="34" spans="1:1">
      <c r="A34" t="s">
        <v>55</v>
      </c>
    </row>
    <row r="35" spans="1:1">
      <c r="A35" t="s">
        <v>358</v>
      </c>
    </row>
    <row r="36" spans="1:1">
      <c r="A36" t="s">
        <v>506</v>
      </c>
    </row>
    <row r="37" spans="1:1">
      <c r="A37" t="s">
        <v>492</v>
      </c>
    </row>
    <row r="38" spans="1:1">
      <c r="A38" t="s">
        <v>658</v>
      </c>
    </row>
    <row r="39" spans="1:1">
      <c r="A39" t="s">
        <v>91</v>
      </c>
    </row>
    <row r="40" spans="1:1">
      <c r="A40" t="s">
        <v>87</v>
      </c>
    </row>
    <row r="41" spans="1:1">
      <c r="A41" t="s">
        <v>448</v>
      </c>
    </row>
    <row r="42" spans="1:1">
      <c r="A42" t="s">
        <v>474</v>
      </c>
    </row>
    <row r="43" spans="1:1">
      <c r="A43" t="s">
        <v>77</v>
      </c>
    </row>
    <row r="44" spans="1:1">
      <c r="A44" t="s">
        <v>100</v>
      </c>
    </row>
    <row r="45" spans="1:1">
      <c r="A45" t="s">
        <v>47</v>
      </c>
    </row>
    <row r="46" spans="1:1">
      <c r="A46" t="s">
        <v>496</v>
      </c>
    </row>
    <row r="47" spans="1:1">
      <c r="A47" t="s">
        <v>498</v>
      </c>
    </row>
    <row r="48" spans="1:1">
      <c r="A48" t="s">
        <v>678</v>
      </c>
    </row>
    <row r="49" spans="1:1">
      <c r="A49" t="s">
        <v>356</v>
      </c>
    </row>
    <row r="50" spans="1:1">
      <c r="A50" t="s">
        <v>662</v>
      </c>
    </row>
    <row r="51" spans="1:1">
      <c r="A51" t="s">
        <v>700</v>
      </c>
    </row>
    <row r="52" spans="1:1">
      <c r="A52" t="s">
        <v>436</v>
      </c>
    </row>
    <row r="53" spans="1:1">
      <c r="A53" t="s">
        <v>83</v>
      </c>
    </row>
    <row r="54" spans="1:1">
      <c r="A54" t="s">
        <v>14</v>
      </c>
    </row>
    <row r="55" spans="1:1">
      <c r="A55" t="s">
        <v>378</v>
      </c>
    </row>
    <row r="56" spans="1:1">
      <c r="A56" t="s">
        <v>126</v>
      </c>
    </row>
    <row r="57" spans="1:1">
      <c r="A57" t="s">
        <v>676</v>
      </c>
    </row>
    <row r="58" spans="1:1">
      <c r="A58" t="s">
        <v>209</v>
      </c>
    </row>
    <row r="59" spans="1:1">
      <c r="A59" t="s">
        <v>151</v>
      </c>
    </row>
    <row r="60" spans="1:1">
      <c r="A60" t="s">
        <v>79</v>
      </c>
    </row>
    <row r="61" spans="1:1">
      <c r="A61" t="s">
        <v>133</v>
      </c>
    </row>
    <row r="62" spans="1:1">
      <c r="A62" t="s">
        <v>26</v>
      </c>
    </row>
    <row r="63" spans="1:1">
      <c r="A63" t="s">
        <v>156</v>
      </c>
    </row>
    <row r="64" spans="1:1">
      <c r="A64" t="s">
        <v>598</v>
      </c>
    </row>
    <row r="65" spans="1:1">
      <c r="A65" t="s">
        <v>149</v>
      </c>
    </row>
    <row r="66" spans="1:1">
      <c r="A66" t="s">
        <v>114</v>
      </c>
    </row>
    <row r="67" spans="1:1">
      <c r="A67" t="s">
        <v>175</v>
      </c>
    </row>
    <row r="68" spans="1:1">
      <c r="A68" t="s">
        <v>424</v>
      </c>
    </row>
    <row r="69" spans="1:1">
      <c r="A69" t="s">
        <v>179</v>
      </c>
    </row>
    <row r="70" spans="1:1">
      <c r="A70" t="s">
        <v>380</v>
      </c>
    </row>
    <row r="71" spans="1:1">
      <c r="A71" t="s">
        <v>522</v>
      </c>
    </row>
    <row r="72" spans="1:1">
      <c r="A72" t="s">
        <v>692</v>
      </c>
    </row>
    <row r="73" spans="1:1">
      <c r="A73" t="s">
        <v>512</v>
      </c>
    </row>
    <row r="74" spans="1:1">
      <c r="A74" t="s">
        <v>57</v>
      </c>
    </row>
    <row r="75" spans="1:1">
      <c r="A75" t="s">
        <v>484</v>
      </c>
    </row>
    <row r="76" spans="1:1">
      <c r="A76" t="s">
        <v>42</v>
      </c>
    </row>
    <row r="77" spans="1:1">
      <c r="A77" t="s">
        <v>251</v>
      </c>
    </row>
    <row r="78" spans="1:1">
      <c r="A78" t="s">
        <v>212</v>
      </c>
    </row>
    <row r="79" spans="1:1">
      <c r="A79" t="s">
        <v>672</v>
      </c>
    </row>
    <row r="80" spans="1:1">
      <c r="A80" t="s">
        <v>85</v>
      </c>
    </row>
    <row r="81" spans="1:1">
      <c r="A81" t="s">
        <v>680</v>
      </c>
    </row>
    <row r="82" spans="1:1">
      <c r="A82" t="s">
        <v>109</v>
      </c>
    </row>
    <row r="83" spans="1:1">
      <c r="A83" t="s">
        <v>610</v>
      </c>
    </row>
    <row r="84" spans="1:1">
      <c r="A84" t="s">
        <v>224</v>
      </c>
    </row>
    <row r="85" spans="1:1">
      <c r="A85" t="s">
        <v>137</v>
      </c>
    </row>
    <row r="86" spans="1:1">
      <c r="A86" t="s">
        <v>390</v>
      </c>
    </row>
    <row r="87" spans="1:1">
      <c r="A87" t="s">
        <v>287</v>
      </c>
    </row>
    <row r="88" spans="1:1">
      <c r="A88" t="s">
        <v>536</v>
      </c>
    </row>
    <row r="89" spans="1:1">
      <c r="A89" t="s">
        <v>468</v>
      </c>
    </row>
    <row r="90" spans="1:1">
      <c r="A90" t="s">
        <v>504</v>
      </c>
    </row>
    <row r="91" spans="1:1">
      <c r="A91" t="s">
        <v>618</v>
      </c>
    </row>
    <row r="92" spans="1:1">
      <c r="A92" t="s">
        <v>63</v>
      </c>
    </row>
    <row r="93" spans="1:1">
      <c r="A93" t="s">
        <v>173</v>
      </c>
    </row>
    <row r="94" spans="1:1">
      <c r="A94" t="s">
        <v>562</v>
      </c>
    </row>
    <row r="95" spans="1:1">
      <c r="A95" t="s">
        <v>169</v>
      </c>
    </row>
    <row r="96" spans="1:1">
      <c r="A96" t="s">
        <v>40</v>
      </c>
    </row>
    <row r="97" spans="1:1">
      <c r="A97" t="s">
        <v>701</v>
      </c>
    </row>
    <row r="98" spans="1:1">
      <c r="A98" t="s">
        <v>246</v>
      </c>
    </row>
    <row r="99" spans="1:1">
      <c r="A99" t="s">
        <v>164</v>
      </c>
    </row>
    <row r="100" spans="1:1">
      <c r="A100" t="s">
        <v>398</v>
      </c>
    </row>
    <row r="101" spans="1:1">
      <c r="A101" t="s">
        <v>249</v>
      </c>
    </row>
    <row r="102" spans="1:1">
      <c r="A102" t="s">
        <v>538</v>
      </c>
    </row>
    <row r="103" spans="1:1">
      <c r="A103" t="s">
        <v>333</v>
      </c>
    </row>
    <row r="104" spans="1:1">
      <c r="A104" t="s">
        <v>592</v>
      </c>
    </row>
    <row r="105" spans="1:1">
      <c r="A105" t="s">
        <v>366</v>
      </c>
    </row>
    <row r="106" spans="1:1">
      <c r="A106" t="s">
        <v>454</v>
      </c>
    </row>
    <row r="107" spans="1:1">
      <c r="A107" t="s">
        <v>362</v>
      </c>
    </row>
    <row r="108" spans="1:1">
      <c r="A108" t="s">
        <v>556</v>
      </c>
    </row>
    <row r="109" spans="1:1">
      <c r="A109" t="s">
        <v>634</v>
      </c>
    </row>
    <row r="110" spans="1:1">
      <c r="A110" t="s">
        <v>566</v>
      </c>
    </row>
    <row r="111" spans="1:1">
      <c r="A111" t="s">
        <v>472</v>
      </c>
    </row>
    <row r="112" spans="1:1">
      <c r="A112" t="s">
        <v>402</v>
      </c>
    </row>
    <row r="113" spans="1:1">
      <c r="A113" t="s">
        <v>516</v>
      </c>
    </row>
    <row r="114" spans="1:1">
      <c r="A114" t="s">
        <v>644</v>
      </c>
    </row>
    <row r="115" spans="1:1">
      <c r="A115" t="s">
        <v>532</v>
      </c>
    </row>
    <row r="116" spans="1:1">
      <c r="A116" t="s">
        <v>630</v>
      </c>
    </row>
    <row r="117" spans="1:1">
      <c r="A117" t="s">
        <v>580</v>
      </c>
    </row>
    <row r="118" spans="1:1">
      <c r="A118" t="s">
        <v>664</v>
      </c>
    </row>
    <row r="119" spans="1:1">
      <c r="A119" t="s">
        <v>702</v>
      </c>
    </row>
    <row r="120" spans="1:1">
      <c r="A120" t="s">
        <v>452</v>
      </c>
    </row>
    <row r="121" spans="1:1">
      <c r="A121" t="s">
        <v>430</v>
      </c>
    </row>
    <row r="122" spans="1:1">
      <c r="A122" t="s">
        <v>396</v>
      </c>
    </row>
    <row r="123" spans="1:1">
      <c r="A123" t="s">
        <v>640</v>
      </c>
    </row>
    <row r="124" spans="1:1">
      <c r="A124" t="s">
        <v>408</v>
      </c>
    </row>
    <row r="125" spans="1:1">
      <c r="A125" t="s">
        <v>528</v>
      </c>
    </row>
    <row r="126" spans="1:1">
      <c r="A126" t="s">
        <v>259</v>
      </c>
    </row>
    <row r="127" spans="1:1">
      <c r="A127" t="s">
        <v>464</v>
      </c>
    </row>
    <row r="128" spans="1:1">
      <c r="A128" t="s">
        <v>35</v>
      </c>
    </row>
    <row r="129" spans="1:1">
      <c r="A129" t="s">
        <v>570</v>
      </c>
    </row>
    <row r="130" spans="1:1">
      <c r="A130" t="s">
        <v>426</v>
      </c>
    </row>
    <row r="131" spans="1:1">
      <c r="A131" t="s">
        <v>406</v>
      </c>
    </row>
    <row r="132" spans="1:1">
      <c r="A132" t="s">
        <v>632</v>
      </c>
    </row>
    <row r="133" spans="1:1">
      <c r="A133" t="s">
        <v>9</v>
      </c>
    </row>
    <row r="134" spans="1:1">
      <c r="A134" t="s">
        <v>234</v>
      </c>
    </row>
    <row r="135" spans="1:1">
      <c r="A135" t="s">
        <v>686</v>
      </c>
    </row>
    <row r="136" spans="1:1">
      <c r="A136" t="s">
        <v>141</v>
      </c>
    </row>
    <row r="137" spans="1:1">
      <c r="A137" t="s">
        <v>602</v>
      </c>
    </row>
    <row r="138" spans="1:1">
      <c r="A138" t="s">
        <v>299</v>
      </c>
    </row>
    <row r="139" spans="1:1">
      <c r="A139" t="s">
        <v>703</v>
      </c>
    </row>
    <row r="140" spans="1:1">
      <c r="A140" t="s">
        <v>628</v>
      </c>
    </row>
    <row r="141" spans="1:1">
      <c r="A141" t="s">
        <v>422</v>
      </c>
    </row>
    <row r="142" spans="1:1">
      <c r="A142" t="s">
        <v>544</v>
      </c>
    </row>
    <row r="143" spans="1:1">
      <c r="A143" t="s">
        <v>534</v>
      </c>
    </row>
    <row r="144" spans="1:1">
      <c r="A144" t="s">
        <v>22</v>
      </c>
    </row>
    <row r="145" spans="1:1">
      <c r="A145" t="s">
        <v>460</v>
      </c>
    </row>
    <row r="146" spans="1:1">
      <c r="A146" t="s">
        <v>281</v>
      </c>
    </row>
    <row r="147" spans="1:1">
      <c r="A147" t="s">
        <v>588</v>
      </c>
    </row>
    <row r="148" spans="1:1">
      <c r="A148" t="s">
        <v>416</v>
      </c>
    </row>
    <row r="149" spans="1:1">
      <c r="A149" t="s">
        <v>596</v>
      </c>
    </row>
    <row r="150" spans="1:1">
      <c r="A150" t="s">
        <v>638</v>
      </c>
    </row>
    <row r="151" spans="1:1">
      <c r="A151" t="s">
        <v>704</v>
      </c>
    </row>
    <row r="152" spans="1:1">
      <c r="A152" t="s">
        <v>604</v>
      </c>
    </row>
    <row r="153" spans="1:1">
      <c r="A153" t="s">
        <v>49</v>
      </c>
    </row>
    <row r="154" spans="1:1">
      <c r="A154" t="s">
        <v>31</v>
      </c>
    </row>
    <row r="155" spans="1:1">
      <c r="A155" t="s">
        <v>578</v>
      </c>
    </row>
    <row r="156" spans="1:1">
      <c r="A156" t="s">
        <v>564</v>
      </c>
    </row>
    <row r="157" spans="1:1">
      <c r="A157" t="s">
        <v>61</v>
      </c>
    </row>
    <row r="158" spans="1:1">
      <c r="A158" t="s">
        <v>690</v>
      </c>
    </row>
    <row r="159" spans="1:1">
      <c r="A159" t="s">
        <v>111</v>
      </c>
    </row>
    <row r="160" spans="1:1">
      <c r="A160" t="s">
        <v>462</v>
      </c>
    </row>
    <row r="161" spans="1:1">
      <c r="A161" t="s">
        <v>432</v>
      </c>
    </row>
    <row r="162" spans="1:1">
      <c r="A162" t="s">
        <v>344</v>
      </c>
    </row>
    <row r="163" spans="1:1">
      <c r="A163" t="s">
        <v>540</v>
      </c>
    </row>
    <row r="164" spans="1:1">
      <c r="A164" t="s">
        <v>524</v>
      </c>
    </row>
    <row r="165" spans="1:1">
      <c r="A165" t="s">
        <v>53</v>
      </c>
    </row>
    <row r="166" spans="1:1">
      <c r="A166" t="s">
        <v>404</v>
      </c>
    </row>
    <row r="167" spans="1:1">
      <c r="A167" t="s">
        <v>530</v>
      </c>
    </row>
    <row r="168" spans="1:1">
      <c r="A168" t="s">
        <v>372</v>
      </c>
    </row>
    <row r="169" spans="1:1">
      <c r="A169" t="s">
        <v>552</v>
      </c>
    </row>
    <row r="170" spans="1:1">
      <c r="A170" t="s">
        <v>81</v>
      </c>
    </row>
    <row r="171" spans="1:1">
      <c r="A171" t="s">
        <v>514</v>
      </c>
    </row>
    <row r="172" spans="1:1">
      <c r="A172" t="s">
        <v>624</v>
      </c>
    </row>
    <row r="173" spans="1:1">
      <c r="A173" t="s">
        <v>502</v>
      </c>
    </row>
    <row r="174" spans="1:1">
      <c r="A174" t="s">
        <v>560</v>
      </c>
    </row>
    <row r="175" spans="1:1">
      <c r="A175" t="s">
        <v>646</v>
      </c>
    </row>
    <row r="176" spans="1:1">
      <c r="A176" t="s">
        <v>103</v>
      </c>
    </row>
    <row r="177" spans="1:1">
      <c r="A177" t="s">
        <v>400</v>
      </c>
    </row>
    <row r="178" spans="1:1">
      <c r="A178" t="s">
        <v>642</v>
      </c>
    </row>
    <row r="179" spans="1:1">
      <c r="A179" t="s">
        <v>594</v>
      </c>
    </row>
    <row r="180" spans="1:1">
      <c r="A180" t="s">
        <v>253</v>
      </c>
    </row>
    <row r="181" spans="1:1">
      <c r="A181" t="s">
        <v>434</v>
      </c>
    </row>
    <row r="182" spans="1:1">
      <c r="A182" t="s">
        <v>418</v>
      </c>
    </row>
    <row r="183" spans="1:1">
      <c r="A183" t="s">
        <v>181</v>
      </c>
    </row>
    <row r="184" spans="1:1">
      <c r="A184" t="s">
        <v>518</v>
      </c>
    </row>
    <row r="185" spans="1:1">
      <c r="A185" t="s">
        <v>705</v>
      </c>
    </row>
    <row r="186" spans="1:1">
      <c r="A186" t="s">
        <v>105</v>
      </c>
    </row>
    <row r="187" spans="1:1">
      <c r="A187" t="s">
        <v>706</v>
      </c>
    </row>
    <row r="188" spans="1:1">
      <c r="A188" t="s">
        <v>600</v>
      </c>
    </row>
    <row r="189" spans="1:1">
      <c r="A189" t="s">
        <v>558</v>
      </c>
    </row>
    <row r="190" spans="1:1">
      <c r="A190" t="s">
        <v>688</v>
      </c>
    </row>
    <row r="191" spans="1:1">
      <c r="A191" t="s">
        <v>670</v>
      </c>
    </row>
    <row r="192" spans="1:1">
      <c r="A192" t="s">
        <v>707</v>
      </c>
    </row>
    <row r="193" spans="1:1">
      <c r="A193" t="s">
        <v>185</v>
      </c>
    </row>
    <row r="194" spans="1:1">
      <c r="A194" t="s">
        <v>187</v>
      </c>
    </row>
    <row r="195" spans="1:1">
      <c r="A195" t="s">
        <v>458</v>
      </c>
    </row>
    <row r="196" spans="1:1">
      <c r="A196" t="s">
        <v>394</v>
      </c>
    </row>
    <row r="197" spans="1:1">
      <c r="A197" t="s">
        <v>572</v>
      </c>
    </row>
    <row r="198" spans="1:1">
      <c r="A198" t="s">
        <v>440</v>
      </c>
    </row>
    <row r="199" spans="1:1">
      <c r="A199" t="s">
        <v>614</v>
      </c>
    </row>
    <row r="200" spans="1:1">
      <c r="A200" t="s">
        <v>542</v>
      </c>
    </row>
    <row r="201" spans="1:1">
      <c r="A201" t="s">
        <v>143</v>
      </c>
    </row>
    <row r="202" spans="1:1">
      <c r="A202" t="s">
        <v>586</v>
      </c>
    </row>
    <row r="203" spans="1:1">
      <c r="A203" t="s">
        <v>546</v>
      </c>
    </row>
    <row r="204" spans="1:1">
      <c r="A204" t="s">
        <v>526</v>
      </c>
    </row>
    <row r="205" spans="1:1">
      <c r="A205" t="s">
        <v>636</v>
      </c>
    </row>
    <row r="206" spans="1:1">
      <c r="A206" t="s">
        <v>386</v>
      </c>
    </row>
    <row r="207" spans="1:1">
      <c r="A207" t="s">
        <v>312</v>
      </c>
    </row>
    <row r="208" spans="1:1">
      <c r="A208" t="s">
        <v>620</v>
      </c>
    </row>
    <row r="209" spans="1:1">
      <c r="A209" t="s">
        <v>89</v>
      </c>
    </row>
    <row r="210" spans="1:1">
      <c r="A210" t="s">
        <v>442</v>
      </c>
    </row>
    <row r="211" spans="1:1">
      <c r="A211" t="s">
        <v>510</v>
      </c>
    </row>
    <row r="212" spans="1:1">
      <c r="A212" t="s">
        <v>272</v>
      </c>
    </row>
    <row r="213" spans="1:1">
      <c r="A213" t="s">
        <v>446</v>
      </c>
    </row>
    <row r="214" spans="1:1">
      <c r="A214" t="s">
        <v>490</v>
      </c>
    </row>
    <row r="215" spans="1:1">
      <c r="A215" t="s">
        <v>20</v>
      </c>
    </row>
    <row r="216" spans="1:1">
      <c r="A216" t="s">
        <v>392</v>
      </c>
    </row>
    <row r="217" spans="1:1">
      <c r="A217" t="s">
        <v>214</v>
      </c>
    </row>
    <row r="218" spans="1:1">
      <c r="A218" t="s">
        <v>616</v>
      </c>
    </row>
    <row r="219" spans="1:1">
      <c r="A219" t="s">
        <v>376</v>
      </c>
    </row>
    <row r="220" spans="1:1">
      <c r="A220" t="s">
        <v>450</v>
      </c>
    </row>
    <row r="221" spans="1:1">
      <c r="A221" t="s">
        <v>256</v>
      </c>
    </row>
    <row r="222" spans="1:1">
      <c r="A222" t="s">
        <v>38</v>
      </c>
    </row>
    <row r="223" spans="1:1">
      <c r="A223" t="s">
        <v>12</v>
      </c>
    </row>
    <row r="224" spans="1:1">
      <c r="A224" t="s">
        <v>650</v>
      </c>
    </row>
    <row r="225" spans="1:1">
      <c r="A225" t="s">
        <v>71</v>
      </c>
    </row>
    <row r="226" spans="1:1">
      <c r="A226" t="s">
        <v>51</v>
      </c>
    </row>
    <row r="227" spans="1:1">
      <c r="A227" t="s">
        <v>360</v>
      </c>
    </row>
    <row r="228" spans="1:1">
      <c r="A228" t="s">
        <v>139</v>
      </c>
    </row>
    <row r="229" spans="1:1">
      <c r="A229" t="s">
        <v>612</v>
      </c>
    </row>
    <row r="230" spans="1:1">
      <c r="A230" t="s">
        <v>68</v>
      </c>
    </row>
    <row r="231" spans="1:1">
      <c r="A231" t="s">
        <v>444</v>
      </c>
    </row>
    <row r="232" spans="1:1">
      <c r="A232" t="s">
        <v>122</v>
      </c>
    </row>
    <row r="233" spans="1:1">
      <c r="A233" t="s">
        <v>520</v>
      </c>
    </row>
    <row r="234" spans="1:1">
      <c r="A234" t="s">
        <v>708</v>
      </c>
    </row>
    <row r="235" spans="1:1">
      <c r="A235" t="s">
        <v>412</v>
      </c>
    </row>
    <row r="236" spans="1:1">
      <c r="A236" t="s">
        <v>239</v>
      </c>
    </row>
    <row r="237" spans="1:1">
      <c r="A237" t="s">
        <v>500</v>
      </c>
    </row>
    <row r="238" spans="1:1">
      <c r="A238" t="s">
        <v>674</v>
      </c>
    </row>
    <row r="239" spans="1:1">
      <c r="A239" t="s">
        <v>466</v>
      </c>
    </row>
    <row r="240" spans="1:1">
      <c r="A240" t="s">
        <v>470</v>
      </c>
    </row>
    <row r="241" spans="1:1">
      <c r="A241" t="s">
        <v>548</v>
      </c>
    </row>
    <row r="242" spans="1:1">
      <c r="A242" t="s">
        <v>166</v>
      </c>
    </row>
    <row r="243" spans="1:1">
      <c r="A243" t="s">
        <v>420</v>
      </c>
    </row>
    <row r="244" spans="1:1">
      <c r="A244" t="s">
        <v>93</v>
      </c>
    </row>
    <row r="245" spans="1:1">
      <c r="A245" t="s">
        <v>232</v>
      </c>
    </row>
    <row r="246" spans="1:1">
      <c r="A246" t="s">
        <v>310</v>
      </c>
    </row>
    <row r="247" spans="1:1">
      <c r="A247" t="s">
        <v>709</v>
      </c>
    </row>
    <row r="248" spans="1:1">
      <c r="A248" t="s">
        <v>244</v>
      </c>
    </row>
    <row r="249" spans="1:1">
      <c r="A249" t="s">
        <v>438</v>
      </c>
    </row>
    <row r="250" spans="1:1">
      <c r="A250" t="s">
        <v>622</v>
      </c>
    </row>
    <row r="251" spans="1:1">
      <c r="A251" t="s">
        <v>317</v>
      </c>
    </row>
    <row r="252" spans="1:1">
      <c r="A252" t="s">
        <v>200</v>
      </c>
    </row>
    <row r="253" spans="1:1">
      <c r="A253" t="s">
        <v>480</v>
      </c>
    </row>
    <row r="254" spans="1:1">
      <c r="A254" t="s">
        <v>221</v>
      </c>
    </row>
    <row r="255" spans="1:1">
      <c r="A255" t="s">
        <v>382</v>
      </c>
    </row>
    <row r="256" spans="1:1">
      <c r="A256" t="s">
        <v>710</v>
      </c>
    </row>
    <row r="257" spans="1:1">
      <c r="A257" t="s">
        <v>410</v>
      </c>
    </row>
    <row r="258" spans="1:1">
      <c r="A258" t="s">
        <v>154</v>
      </c>
    </row>
    <row r="259" spans="1:1">
      <c r="A259" t="s">
        <v>456</v>
      </c>
    </row>
    <row r="260" spans="1:1">
      <c r="A260" t="s">
        <v>388</v>
      </c>
    </row>
    <row r="261" spans="1:1">
      <c r="A261" t="s">
        <v>364</v>
      </c>
    </row>
    <row r="262" spans="1:1">
      <c r="A262" t="s">
        <v>414</v>
      </c>
    </row>
    <row r="263" spans="1:1">
      <c r="A263" t="s">
        <v>711</v>
      </c>
    </row>
    <row r="264" spans="1:1">
      <c r="A264" t="s">
        <v>266</v>
      </c>
    </row>
    <row r="265" spans="1:1">
      <c r="A265" t="s">
        <v>96</v>
      </c>
    </row>
    <row r="266" spans="1:1">
      <c r="A266" t="s">
        <v>368</v>
      </c>
    </row>
    <row r="267" spans="1:1">
      <c r="A267" t="s">
        <v>574</v>
      </c>
    </row>
    <row r="268" spans="1:1">
      <c r="A268" t="s">
        <v>576</v>
      </c>
    </row>
    <row r="269" spans="1:1">
      <c r="A269" t="s">
        <v>161</v>
      </c>
    </row>
    <row r="270" spans="1:1">
      <c r="A270" t="s">
        <v>98</v>
      </c>
    </row>
    <row r="271" spans="1:1">
      <c r="A271" t="s">
        <v>608</v>
      </c>
    </row>
    <row r="272" spans="1:1">
      <c r="A272" t="s">
        <v>229</v>
      </c>
    </row>
    <row r="273" spans="1:1">
      <c r="A273" t="s">
        <v>554</v>
      </c>
    </row>
    <row r="274" spans="1:1">
      <c r="A274" t="s">
        <v>116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格道17</vt:lpstr>
      <vt:lpstr>操作频率</vt:lpstr>
      <vt:lpstr>乱序17</vt:lpstr>
      <vt:lpstr>格道17GB重音字率</vt:lpstr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2016-04-15T07:33:00Z</dcterms:created>
  <dcterms:modified xsi:type="dcterms:W3CDTF">2016-05-03T01:12:25Z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2052-10.1.0.5603</vt:lpwstr>
  </property>
</Properties>
</file>